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QPERA\Desktop\qpera günlük - aylık kasa\10 - EKİM 2026\"/>
    </mc:Choice>
  </mc:AlternateContent>
  <xr:revisionPtr revIDLastSave="0" documentId="13_ncr:1_{97F2B924-B675-4F55-8FC8-65F584A50C7C}" xr6:coauthVersionLast="47" xr6:coauthVersionMax="47" xr10:uidLastSave="{00000000-0000-0000-0000-000000000000}"/>
  <bookViews>
    <workbookView xWindow="-120" yWindow="-120" windowWidth="20730" windowHeight="11760" tabRatio="955" activeTab="3" xr2:uid="{00000000-000D-0000-FFFF-FFFF00000000}"/>
  </bookViews>
  <sheets>
    <sheet name="01.10" sheetId="5" r:id="rId1"/>
    <sheet name="02.10" sheetId="6" r:id="rId2"/>
    <sheet name="03.10" sheetId="7" r:id="rId3"/>
    <sheet name="04.10" sheetId="8" r:id="rId4"/>
    <sheet name="05.10" sheetId="9" r:id="rId5"/>
    <sheet name="06.10" sheetId="10" r:id="rId6"/>
    <sheet name="07.10" sheetId="11" r:id="rId7"/>
    <sheet name="08.10" sheetId="12" r:id="rId8"/>
    <sheet name="09.10" sheetId="13" r:id="rId9"/>
    <sheet name="10.10" sheetId="14" r:id="rId10"/>
    <sheet name="11.10" sheetId="15" r:id="rId11"/>
    <sheet name="12.10" sheetId="16" r:id="rId12"/>
    <sheet name="13.10" sheetId="17" r:id="rId13"/>
    <sheet name="14.10" sheetId="18" r:id="rId14"/>
    <sheet name="15.10" sheetId="19" r:id="rId15"/>
    <sheet name="16.10" sheetId="20" r:id="rId16"/>
    <sheet name="17.10" sheetId="21" r:id="rId17"/>
    <sheet name="18.10" sheetId="22" r:id="rId18"/>
    <sheet name="19.10" sheetId="23" r:id="rId19"/>
    <sheet name="20.10" sheetId="24" r:id="rId20"/>
    <sheet name="21.10" sheetId="25" r:id="rId21"/>
    <sheet name="22.10" sheetId="26" r:id="rId22"/>
    <sheet name="23.10" sheetId="27" r:id="rId23"/>
    <sheet name="24.10" sheetId="28" r:id="rId24"/>
    <sheet name="25.10" sheetId="29" r:id="rId25"/>
    <sheet name="26.10" sheetId="30" r:id="rId26"/>
    <sheet name="27.10" sheetId="31" r:id="rId27"/>
    <sheet name="28.10" sheetId="32" r:id="rId28"/>
    <sheet name="29.10" sheetId="33" r:id="rId29"/>
    <sheet name="30.10" sheetId="34" r:id="rId30"/>
    <sheet name="31.10" sheetId="35" r:id="rId31"/>
  </sheets>
  <externalReferences>
    <externalReference r:id="rId3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5" l="1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K25" i="35" l="1"/>
  <c r="J25" i="35"/>
  <c r="I25" i="35"/>
  <c r="H23" i="35"/>
  <c r="H22" i="35"/>
  <c r="H21" i="35"/>
  <c r="H20" i="35"/>
  <c r="H19" i="35"/>
  <c r="H18" i="35"/>
  <c r="H17" i="35"/>
  <c r="H16" i="35"/>
  <c r="H15" i="35"/>
  <c r="H14" i="35"/>
  <c r="H13" i="35"/>
  <c r="H12" i="35"/>
  <c r="H11" i="35"/>
  <c r="H10" i="35"/>
  <c r="H9" i="35"/>
  <c r="H8" i="35"/>
  <c r="H7" i="35"/>
  <c r="K25" i="34"/>
  <c r="J25" i="34"/>
  <c r="I25" i="34"/>
  <c r="H23" i="34"/>
  <c r="H22" i="34"/>
  <c r="H21" i="34"/>
  <c r="H20" i="34"/>
  <c r="H19" i="34"/>
  <c r="H18" i="34"/>
  <c r="H17" i="34"/>
  <c r="H16" i="34"/>
  <c r="H15" i="34"/>
  <c r="H14" i="34"/>
  <c r="H13" i="34"/>
  <c r="H12" i="34"/>
  <c r="H11" i="34"/>
  <c r="H10" i="34"/>
  <c r="H9" i="34"/>
  <c r="H8" i="34"/>
  <c r="H7" i="34"/>
  <c r="K25" i="33"/>
  <c r="J25" i="33"/>
  <c r="I25" i="33"/>
  <c r="H23" i="33"/>
  <c r="H22" i="33"/>
  <c r="H21" i="33"/>
  <c r="H20" i="33"/>
  <c r="H19" i="33"/>
  <c r="H18" i="33"/>
  <c r="H17" i="33"/>
  <c r="H16" i="33"/>
  <c r="H15" i="33"/>
  <c r="H14" i="33"/>
  <c r="H13" i="33"/>
  <c r="H12" i="33"/>
  <c r="H11" i="33"/>
  <c r="H10" i="33"/>
  <c r="H9" i="33"/>
  <c r="H8" i="33"/>
  <c r="H7" i="33"/>
  <c r="K25" i="32"/>
  <c r="J25" i="32"/>
  <c r="I25" i="32"/>
  <c r="H23" i="32"/>
  <c r="H22" i="32"/>
  <c r="H21" i="32"/>
  <c r="H20" i="32"/>
  <c r="H19" i="32"/>
  <c r="H18" i="32"/>
  <c r="H17" i="32"/>
  <c r="H16" i="32"/>
  <c r="H15" i="32"/>
  <c r="H14" i="32"/>
  <c r="H13" i="32"/>
  <c r="H12" i="32"/>
  <c r="H11" i="32"/>
  <c r="H10" i="32"/>
  <c r="H9" i="32"/>
  <c r="H8" i="32"/>
  <c r="H7" i="32"/>
  <c r="K25" i="31"/>
  <c r="J25" i="31"/>
  <c r="I25" i="31"/>
  <c r="H23" i="31"/>
  <c r="H22" i="31"/>
  <c r="H21" i="31"/>
  <c r="H20" i="31"/>
  <c r="H19" i="31"/>
  <c r="H18" i="31"/>
  <c r="H17" i="31"/>
  <c r="H16" i="31"/>
  <c r="H15" i="31"/>
  <c r="H14" i="31"/>
  <c r="H13" i="31"/>
  <c r="H12" i="31"/>
  <c r="H11" i="31"/>
  <c r="H10" i="31"/>
  <c r="H9" i="31"/>
  <c r="H8" i="31"/>
  <c r="H7" i="31"/>
  <c r="K25" i="30"/>
  <c r="J25" i="30"/>
  <c r="I25" i="30"/>
  <c r="H23" i="30"/>
  <c r="H22" i="30"/>
  <c r="H21" i="30"/>
  <c r="H20" i="30"/>
  <c r="H19" i="30"/>
  <c r="H18" i="30"/>
  <c r="H17" i="30"/>
  <c r="H16" i="30"/>
  <c r="H15" i="30"/>
  <c r="H14" i="30"/>
  <c r="H13" i="30"/>
  <c r="H12" i="30"/>
  <c r="H11" i="30"/>
  <c r="H10" i="30"/>
  <c r="H9" i="30"/>
  <c r="H8" i="30"/>
  <c r="H7" i="30"/>
  <c r="K25" i="29"/>
  <c r="J25" i="29"/>
  <c r="I25" i="29"/>
  <c r="H23" i="29"/>
  <c r="H22" i="29"/>
  <c r="H21" i="29"/>
  <c r="H20" i="29"/>
  <c r="H19" i="29"/>
  <c r="H18" i="29"/>
  <c r="H17" i="29"/>
  <c r="H16" i="29"/>
  <c r="H15" i="29"/>
  <c r="H14" i="29"/>
  <c r="H13" i="29"/>
  <c r="H12" i="29"/>
  <c r="H11" i="29"/>
  <c r="H10" i="29"/>
  <c r="H9" i="29"/>
  <c r="H8" i="29"/>
  <c r="H7" i="29"/>
  <c r="K25" i="28"/>
  <c r="J25" i="28"/>
  <c r="I25" i="28"/>
  <c r="H23" i="28"/>
  <c r="H22" i="28"/>
  <c r="H21" i="28"/>
  <c r="H20" i="28"/>
  <c r="H19" i="28"/>
  <c r="H18" i="28"/>
  <c r="H17" i="28"/>
  <c r="H16" i="28"/>
  <c r="H15" i="28"/>
  <c r="H14" i="28"/>
  <c r="H13" i="28"/>
  <c r="H12" i="28"/>
  <c r="H11" i="28"/>
  <c r="H10" i="28"/>
  <c r="H9" i="28"/>
  <c r="H8" i="28"/>
  <c r="H7" i="28"/>
  <c r="K25" i="27"/>
  <c r="J25" i="27"/>
  <c r="I25" i="27"/>
  <c r="H23" i="27"/>
  <c r="H22" i="27"/>
  <c r="H21" i="27"/>
  <c r="H20" i="27"/>
  <c r="H19" i="27"/>
  <c r="H18" i="27"/>
  <c r="H17" i="27"/>
  <c r="H16" i="27"/>
  <c r="H15" i="27"/>
  <c r="H14" i="27"/>
  <c r="H13" i="27"/>
  <c r="H12" i="27"/>
  <c r="H11" i="27"/>
  <c r="H10" i="27"/>
  <c r="H9" i="27"/>
  <c r="H8" i="27"/>
  <c r="H7" i="27"/>
  <c r="K25" i="26"/>
  <c r="J25" i="26"/>
  <c r="I25" i="26"/>
  <c r="H23" i="26"/>
  <c r="H22" i="26"/>
  <c r="H21" i="26"/>
  <c r="H20" i="26"/>
  <c r="H19" i="26"/>
  <c r="H18" i="26"/>
  <c r="H17" i="26"/>
  <c r="H16" i="26"/>
  <c r="H15" i="26"/>
  <c r="H14" i="26"/>
  <c r="H13" i="26"/>
  <c r="H12" i="26"/>
  <c r="H11" i="26"/>
  <c r="H10" i="26"/>
  <c r="H9" i="26"/>
  <c r="H8" i="26"/>
  <c r="H7" i="26"/>
  <c r="K25" i="25"/>
  <c r="J25" i="25"/>
  <c r="I25" i="25"/>
  <c r="H23" i="25"/>
  <c r="H22" i="25"/>
  <c r="H21" i="25"/>
  <c r="H20" i="25"/>
  <c r="H19" i="25"/>
  <c r="H18" i="25"/>
  <c r="H17" i="25"/>
  <c r="H16" i="25"/>
  <c r="H15" i="25"/>
  <c r="H14" i="25"/>
  <c r="H13" i="25"/>
  <c r="H12" i="25"/>
  <c r="H11" i="25"/>
  <c r="H10" i="25"/>
  <c r="H9" i="25"/>
  <c r="H8" i="25"/>
  <c r="H7" i="25"/>
  <c r="K25" i="24"/>
  <c r="J25" i="24"/>
  <c r="I25" i="24"/>
  <c r="H23" i="24"/>
  <c r="H22" i="24"/>
  <c r="H21" i="24"/>
  <c r="H20" i="24"/>
  <c r="H19" i="24"/>
  <c r="H18" i="24"/>
  <c r="H17" i="24"/>
  <c r="H16" i="24"/>
  <c r="H15" i="24"/>
  <c r="H14" i="24"/>
  <c r="H13" i="24"/>
  <c r="H12" i="24"/>
  <c r="H11" i="24"/>
  <c r="H10" i="24"/>
  <c r="H9" i="24"/>
  <c r="H8" i="24"/>
  <c r="H7" i="24"/>
  <c r="K25" i="23"/>
  <c r="J25" i="23"/>
  <c r="I25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K25" i="22"/>
  <c r="J25" i="22"/>
  <c r="I25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K25" i="21"/>
  <c r="J25" i="21"/>
  <c r="I25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K25" i="20"/>
  <c r="J25" i="20"/>
  <c r="I25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K25" i="19"/>
  <c r="J25" i="19"/>
  <c r="I25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K25" i="18"/>
  <c r="J25" i="18"/>
  <c r="I25" i="18"/>
  <c r="H23" i="18"/>
  <c r="H22" i="18"/>
  <c r="H21" i="18"/>
  <c r="H20" i="18"/>
  <c r="H19" i="18"/>
  <c r="H18" i="18"/>
  <c r="H17" i="18"/>
  <c r="H16" i="18"/>
  <c r="H15" i="18"/>
  <c r="H14" i="18"/>
  <c r="H13" i="18"/>
  <c r="H12" i="18"/>
  <c r="H11" i="18"/>
  <c r="H10" i="18"/>
  <c r="H9" i="18"/>
  <c r="H8" i="18"/>
  <c r="H7" i="18"/>
  <c r="K25" i="17"/>
  <c r="J25" i="17"/>
  <c r="I25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K25" i="16"/>
  <c r="J25" i="16"/>
  <c r="I25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K25" i="15"/>
  <c r="J25" i="15"/>
  <c r="I25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K25" i="14"/>
  <c r="J25" i="14"/>
  <c r="I25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K25" i="13" l="1"/>
  <c r="J25" i="13"/>
  <c r="I25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K25" i="12"/>
  <c r="J25" i="12"/>
  <c r="I25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K25" i="11"/>
  <c r="J25" i="11"/>
  <c r="I25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K25" i="10"/>
  <c r="J25" i="10"/>
  <c r="I25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K25" i="9"/>
  <c r="J25" i="9"/>
  <c r="I25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K25" i="8"/>
  <c r="J25" i="8"/>
  <c r="I25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K25" i="7"/>
  <c r="J25" i="7"/>
  <c r="I25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K25" i="6" l="1"/>
  <c r="J25" i="6"/>
  <c r="I25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M23" i="5" l="1"/>
  <c r="L23" i="6" s="1"/>
  <c r="M23" i="6" s="1"/>
  <c r="L23" i="7" s="1"/>
  <c r="M23" i="7" s="1"/>
  <c r="L23" i="8" s="1"/>
  <c r="M23" i="8" s="1"/>
  <c r="L23" i="9" s="1"/>
  <c r="M23" i="9" s="1"/>
  <c r="L23" i="10" s="1"/>
  <c r="M23" i="10" s="1"/>
  <c r="L23" i="11" s="1"/>
  <c r="M23" i="11" s="1"/>
  <c r="M9" i="5"/>
  <c r="L9" i="6" s="1"/>
  <c r="M9" i="6" s="1"/>
  <c r="L9" i="7" s="1"/>
  <c r="M9" i="7" s="1"/>
  <c r="L9" i="8" s="1"/>
  <c r="M9" i="8" s="1"/>
  <c r="L9" i="9" s="1"/>
  <c r="M9" i="9" s="1"/>
  <c r="L9" i="10" s="1"/>
  <c r="M9" i="10" s="1"/>
  <c r="L9" i="11" s="1"/>
  <c r="M9" i="11" s="1"/>
  <c r="M10" i="5"/>
  <c r="L10" i="6" s="1"/>
  <c r="M10" i="6" s="1"/>
  <c r="L10" i="7" s="1"/>
  <c r="M10" i="7" s="1"/>
  <c r="L10" i="8" s="1"/>
  <c r="M10" i="8" s="1"/>
  <c r="L10" i="9" s="1"/>
  <c r="M10" i="9" s="1"/>
  <c r="L10" i="10" s="1"/>
  <c r="M10" i="10" s="1"/>
  <c r="L10" i="11" s="1"/>
  <c r="M10" i="11" s="1"/>
  <c r="M11" i="5"/>
  <c r="L11" i="6" s="1"/>
  <c r="M11" i="6" s="1"/>
  <c r="L11" i="7" s="1"/>
  <c r="M11" i="7" s="1"/>
  <c r="L11" i="8" s="1"/>
  <c r="M11" i="8" s="1"/>
  <c r="L11" i="9" s="1"/>
  <c r="M11" i="9" s="1"/>
  <c r="L11" i="10" s="1"/>
  <c r="M11" i="10" s="1"/>
  <c r="L11" i="11" s="1"/>
  <c r="M11" i="11" s="1"/>
  <c r="M12" i="5"/>
  <c r="L12" i="6" s="1"/>
  <c r="M12" i="6" s="1"/>
  <c r="L12" i="7" s="1"/>
  <c r="M12" i="7" s="1"/>
  <c r="L12" i="8" s="1"/>
  <c r="M12" i="8" s="1"/>
  <c r="L12" i="9" s="1"/>
  <c r="M12" i="9" s="1"/>
  <c r="L12" i="10" s="1"/>
  <c r="M12" i="10" s="1"/>
  <c r="L12" i="11" s="1"/>
  <c r="M12" i="11" s="1"/>
  <c r="M13" i="5"/>
  <c r="L13" i="6" s="1"/>
  <c r="M13" i="6" s="1"/>
  <c r="L13" i="7" s="1"/>
  <c r="M13" i="7" s="1"/>
  <c r="L13" i="8" s="1"/>
  <c r="M13" i="8" s="1"/>
  <c r="L13" i="9" s="1"/>
  <c r="M13" i="9" s="1"/>
  <c r="L13" i="10" s="1"/>
  <c r="M13" i="10" s="1"/>
  <c r="L13" i="11" s="1"/>
  <c r="M13" i="11" s="1"/>
  <c r="M14" i="5"/>
  <c r="L14" i="6" s="1"/>
  <c r="M14" i="6" s="1"/>
  <c r="L14" i="7" s="1"/>
  <c r="M14" i="7" s="1"/>
  <c r="L14" i="8" s="1"/>
  <c r="M14" i="8" s="1"/>
  <c r="L14" i="9" s="1"/>
  <c r="M14" i="9" s="1"/>
  <c r="L14" i="10" s="1"/>
  <c r="M14" i="10" s="1"/>
  <c r="L14" i="11" s="1"/>
  <c r="M14" i="11" s="1"/>
  <c r="M15" i="5"/>
  <c r="L15" i="6" s="1"/>
  <c r="M15" i="6" s="1"/>
  <c r="L15" i="7" s="1"/>
  <c r="M15" i="7" s="1"/>
  <c r="L15" i="8" s="1"/>
  <c r="M15" i="8" s="1"/>
  <c r="L15" i="9" s="1"/>
  <c r="M15" i="9" s="1"/>
  <c r="L15" i="10" s="1"/>
  <c r="M15" i="10" s="1"/>
  <c r="L15" i="11" s="1"/>
  <c r="M15" i="11" s="1"/>
  <c r="M16" i="5"/>
  <c r="L16" i="6" s="1"/>
  <c r="M16" i="6" s="1"/>
  <c r="L16" i="7" s="1"/>
  <c r="M16" i="7" s="1"/>
  <c r="L16" i="8" s="1"/>
  <c r="M16" i="8" s="1"/>
  <c r="L16" i="9" s="1"/>
  <c r="M16" i="9" s="1"/>
  <c r="L16" i="10" s="1"/>
  <c r="M16" i="10" s="1"/>
  <c r="L16" i="11" s="1"/>
  <c r="M16" i="11" s="1"/>
  <c r="M17" i="5"/>
  <c r="L17" i="6" s="1"/>
  <c r="M17" i="6" s="1"/>
  <c r="L17" i="7" s="1"/>
  <c r="M17" i="7" s="1"/>
  <c r="L17" i="8" s="1"/>
  <c r="M17" i="8" s="1"/>
  <c r="L17" i="9" s="1"/>
  <c r="M17" i="9" s="1"/>
  <c r="L17" i="10" s="1"/>
  <c r="M17" i="10" s="1"/>
  <c r="L17" i="11" s="1"/>
  <c r="M17" i="11" s="1"/>
  <c r="M18" i="5"/>
  <c r="L18" i="6" s="1"/>
  <c r="M18" i="6" s="1"/>
  <c r="L18" i="7" s="1"/>
  <c r="M18" i="7" s="1"/>
  <c r="L18" i="8" s="1"/>
  <c r="M18" i="8" s="1"/>
  <c r="L18" i="9" s="1"/>
  <c r="M18" i="9" s="1"/>
  <c r="L18" i="10" s="1"/>
  <c r="M18" i="10" s="1"/>
  <c r="L18" i="11" s="1"/>
  <c r="M18" i="11" s="1"/>
  <c r="M19" i="5"/>
  <c r="L19" i="6" s="1"/>
  <c r="M19" i="6" s="1"/>
  <c r="L19" i="7" s="1"/>
  <c r="M19" i="7" s="1"/>
  <c r="L19" i="8" s="1"/>
  <c r="M19" i="8" s="1"/>
  <c r="L19" i="9" s="1"/>
  <c r="M19" i="9" s="1"/>
  <c r="L19" i="10" s="1"/>
  <c r="M19" i="10" s="1"/>
  <c r="L19" i="11" s="1"/>
  <c r="M19" i="11" s="1"/>
  <c r="M20" i="5"/>
  <c r="L20" i="6" s="1"/>
  <c r="M20" i="6" s="1"/>
  <c r="L20" i="7" s="1"/>
  <c r="M20" i="7" s="1"/>
  <c r="L20" i="8" s="1"/>
  <c r="M20" i="8" s="1"/>
  <c r="L20" i="9" s="1"/>
  <c r="M20" i="9" s="1"/>
  <c r="L20" i="10" s="1"/>
  <c r="M20" i="10" s="1"/>
  <c r="L20" i="11" s="1"/>
  <c r="M20" i="11" s="1"/>
  <c r="M21" i="5"/>
  <c r="L21" i="6" s="1"/>
  <c r="M21" i="6" s="1"/>
  <c r="L21" i="7" s="1"/>
  <c r="M21" i="7" s="1"/>
  <c r="L21" i="8" s="1"/>
  <c r="M21" i="8" s="1"/>
  <c r="L21" i="9" s="1"/>
  <c r="M21" i="9" s="1"/>
  <c r="L21" i="10" s="1"/>
  <c r="M21" i="10" s="1"/>
  <c r="L21" i="11" s="1"/>
  <c r="M21" i="11" s="1"/>
  <c r="M22" i="5"/>
  <c r="L22" i="6" s="1"/>
  <c r="M22" i="6" s="1"/>
  <c r="L22" i="7" s="1"/>
  <c r="M22" i="7" s="1"/>
  <c r="L22" i="8" s="1"/>
  <c r="M22" i="8" s="1"/>
  <c r="L22" i="9" s="1"/>
  <c r="M22" i="9" s="1"/>
  <c r="L22" i="10" s="1"/>
  <c r="M22" i="10" s="1"/>
  <c r="L22" i="11" s="1"/>
  <c r="M22" i="11" s="1"/>
  <c r="M8" i="5"/>
  <c r="L8" i="6" s="1"/>
  <c r="M8" i="6" s="1"/>
  <c r="L8" i="7" s="1"/>
  <c r="M8" i="7" s="1"/>
  <c r="L8" i="8" s="1"/>
  <c r="M8" i="8" s="1"/>
  <c r="L8" i="9" s="1"/>
  <c r="M8" i="9" s="1"/>
  <c r="L8" i="10" s="1"/>
  <c r="M8" i="10" s="1"/>
  <c r="L8" i="11" s="1"/>
  <c r="M8" i="11" s="1"/>
  <c r="M7" i="5"/>
  <c r="L7" i="6" s="1"/>
  <c r="M7" i="6" s="1"/>
  <c r="L7" i="7" s="1"/>
  <c r="M7" i="7" s="1"/>
  <c r="L7" i="8" s="1"/>
  <c r="M7" i="8" s="1"/>
  <c r="L7" i="9" s="1"/>
  <c r="M7" i="9" s="1"/>
  <c r="L7" i="10" s="1"/>
  <c r="M7" i="10" s="1"/>
  <c r="L7" i="11" s="1"/>
  <c r="M7" i="11" s="1"/>
  <c r="L7" i="12" l="1"/>
  <c r="M7" i="12" s="1"/>
  <c r="L7" i="13" s="1"/>
  <c r="M7" i="13" s="1"/>
  <c r="L7" i="14" s="1"/>
  <c r="M7" i="14" s="1"/>
  <c r="L7" i="15" s="1"/>
  <c r="M7" i="15" s="1"/>
  <c r="L7" i="16" s="1"/>
  <c r="M7" i="16" s="1"/>
  <c r="L7" i="17" s="1"/>
  <c r="M7" i="17" s="1"/>
  <c r="L7" i="18" s="1"/>
  <c r="M7" i="18" s="1"/>
  <c r="L7" i="19" s="1"/>
  <c r="M7" i="19" s="1"/>
  <c r="L7" i="20" s="1"/>
  <c r="M7" i="20" s="1"/>
  <c r="L7" i="21" s="1"/>
  <c r="M7" i="21" s="1"/>
  <c r="L7" i="22" s="1"/>
  <c r="M7" i="22" s="1"/>
  <c r="L7" i="23" s="1"/>
  <c r="M7" i="23" s="1"/>
  <c r="L7" i="24" s="1"/>
  <c r="M7" i="24" s="1"/>
  <c r="L7" i="25" s="1"/>
  <c r="M7" i="25" s="1"/>
  <c r="L7" i="26" s="1"/>
  <c r="M7" i="26" s="1"/>
  <c r="L7" i="27" s="1"/>
  <c r="M7" i="27" s="1"/>
  <c r="L7" i="28" s="1"/>
  <c r="M7" i="28" s="1"/>
  <c r="L7" i="29" s="1"/>
  <c r="M7" i="29" s="1"/>
  <c r="L7" i="30" s="1"/>
  <c r="M7" i="30" s="1"/>
  <c r="L7" i="31" s="1"/>
  <c r="M7" i="31" s="1"/>
  <c r="L7" i="32" s="1"/>
  <c r="M7" i="32" s="1"/>
  <c r="L7" i="33" s="1"/>
  <c r="M7" i="33" s="1"/>
  <c r="L7" i="34" s="1"/>
  <c r="M7" i="34" s="1"/>
  <c r="L7" i="35" s="1"/>
  <c r="M7" i="35" s="1"/>
  <c r="L19" i="12"/>
  <c r="M19" i="12" s="1"/>
  <c r="L19" i="13" s="1"/>
  <c r="M19" i="13" s="1"/>
  <c r="L19" i="14" s="1"/>
  <c r="M19" i="14" s="1"/>
  <c r="L19" i="15" s="1"/>
  <c r="M19" i="15" s="1"/>
  <c r="L19" i="16" s="1"/>
  <c r="M19" i="16" s="1"/>
  <c r="L19" i="17" s="1"/>
  <c r="M19" i="17" s="1"/>
  <c r="L19" i="18" s="1"/>
  <c r="M19" i="18" s="1"/>
  <c r="L19" i="19" s="1"/>
  <c r="M19" i="19" s="1"/>
  <c r="L19" i="20" s="1"/>
  <c r="M19" i="20" s="1"/>
  <c r="L19" i="21" s="1"/>
  <c r="M19" i="21" s="1"/>
  <c r="L19" i="22" s="1"/>
  <c r="M19" i="22" s="1"/>
  <c r="L19" i="23" s="1"/>
  <c r="M19" i="23" s="1"/>
  <c r="L19" i="24" s="1"/>
  <c r="M19" i="24" s="1"/>
  <c r="L19" i="25" s="1"/>
  <c r="M19" i="25" s="1"/>
  <c r="L19" i="26" s="1"/>
  <c r="M19" i="26" s="1"/>
  <c r="L19" i="27" s="1"/>
  <c r="M19" i="27" s="1"/>
  <c r="L19" i="28" s="1"/>
  <c r="M19" i="28" s="1"/>
  <c r="L19" i="29" s="1"/>
  <c r="M19" i="29" s="1"/>
  <c r="L19" i="30" s="1"/>
  <c r="M19" i="30" s="1"/>
  <c r="L19" i="31" s="1"/>
  <c r="M19" i="31" s="1"/>
  <c r="L19" i="32" s="1"/>
  <c r="M19" i="32" s="1"/>
  <c r="L19" i="33" s="1"/>
  <c r="M19" i="33" s="1"/>
  <c r="L19" i="34" s="1"/>
  <c r="M19" i="34" s="1"/>
  <c r="L19" i="35" s="1"/>
  <c r="M19" i="35" s="1"/>
  <c r="L11" i="12"/>
  <c r="M11" i="12" s="1"/>
  <c r="L11" i="13" s="1"/>
  <c r="M11" i="13" s="1"/>
  <c r="L11" i="14" s="1"/>
  <c r="M11" i="14" s="1"/>
  <c r="L11" i="15" s="1"/>
  <c r="M11" i="15" s="1"/>
  <c r="L11" i="16" s="1"/>
  <c r="M11" i="16" s="1"/>
  <c r="L11" i="17" s="1"/>
  <c r="M11" i="17" s="1"/>
  <c r="L11" i="18" s="1"/>
  <c r="M11" i="18" s="1"/>
  <c r="L11" i="19" s="1"/>
  <c r="M11" i="19" s="1"/>
  <c r="L11" i="20" s="1"/>
  <c r="M11" i="20" s="1"/>
  <c r="L11" i="21" s="1"/>
  <c r="M11" i="21" s="1"/>
  <c r="L11" i="22" s="1"/>
  <c r="M11" i="22" s="1"/>
  <c r="L11" i="23" s="1"/>
  <c r="M11" i="23" s="1"/>
  <c r="L11" i="24" s="1"/>
  <c r="M11" i="24" s="1"/>
  <c r="L11" i="25" s="1"/>
  <c r="M11" i="25" s="1"/>
  <c r="L11" i="26" s="1"/>
  <c r="M11" i="26" s="1"/>
  <c r="L11" i="27" s="1"/>
  <c r="M11" i="27" s="1"/>
  <c r="L11" i="28" s="1"/>
  <c r="M11" i="28" s="1"/>
  <c r="L11" i="29" s="1"/>
  <c r="M11" i="29" s="1"/>
  <c r="L11" i="30" s="1"/>
  <c r="M11" i="30" s="1"/>
  <c r="L11" i="31" s="1"/>
  <c r="M11" i="31" s="1"/>
  <c r="L11" i="32" s="1"/>
  <c r="M11" i="32" s="1"/>
  <c r="L11" i="33" s="1"/>
  <c r="M11" i="33" s="1"/>
  <c r="L11" i="34" s="1"/>
  <c r="M11" i="34" s="1"/>
  <c r="L11" i="35" s="1"/>
  <c r="M11" i="35" s="1"/>
  <c r="L22" i="12"/>
  <c r="M22" i="12" s="1"/>
  <c r="L22" i="13" s="1"/>
  <c r="M22" i="13" s="1"/>
  <c r="L22" i="14" s="1"/>
  <c r="M22" i="14" s="1"/>
  <c r="L22" i="15" s="1"/>
  <c r="M22" i="15" s="1"/>
  <c r="L22" i="16" s="1"/>
  <c r="M22" i="16" s="1"/>
  <c r="L22" i="17" s="1"/>
  <c r="M22" i="17" s="1"/>
  <c r="L22" i="18" s="1"/>
  <c r="M22" i="18" s="1"/>
  <c r="L22" i="19" s="1"/>
  <c r="M22" i="19" s="1"/>
  <c r="L22" i="20" s="1"/>
  <c r="M22" i="20" s="1"/>
  <c r="L22" i="21" s="1"/>
  <c r="M22" i="21" s="1"/>
  <c r="L22" i="22" s="1"/>
  <c r="M22" i="22" s="1"/>
  <c r="L22" i="23" s="1"/>
  <c r="M22" i="23" s="1"/>
  <c r="L22" i="24" s="1"/>
  <c r="M22" i="24" s="1"/>
  <c r="L22" i="25" s="1"/>
  <c r="M22" i="25" s="1"/>
  <c r="L22" i="26" s="1"/>
  <c r="M22" i="26" s="1"/>
  <c r="L22" i="27" s="1"/>
  <c r="M22" i="27" s="1"/>
  <c r="L22" i="28" s="1"/>
  <c r="M22" i="28" s="1"/>
  <c r="L22" i="29" s="1"/>
  <c r="M22" i="29" s="1"/>
  <c r="L22" i="30" s="1"/>
  <c r="M22" i="30" s="1"/>
  <c r="L22" i="31" s="1"/>
  <c r="M22" i="31" s="1"/>
  <c r="L22" i="32" s="1"/>
  <c r="M22" i="32" s="1"/>
  <c r="L22" i="33" s="1"/>
  <c r="M22" i="33" s="1"/>
  <c r="L22" i="34" s="1"/>
  <c r="M22" i="34" s="1"/>
  <c r="L22" i="35" s="1"/>
  <c r="M22" i="35" s="1"/>
  <c r="L18" i="12"/>
  <c r="M18" i="12" s="1"/>
  <c r="L18" i="13" s="1"/>
  <c r="M18" i="13" s="1"/>
  <c r="L18" i="14" s="1"/>
  <c r="M18" i="14" s="1"/>
  <c r="L18" i="15" s="1"/>
  <c r="M18" i="15" s="1"/>
  <c r="L18" i="16" s="1"/>
  <c r="M18" i="16" s="1"/>
  <c r="L18" i="17" s="1"/>
  <c r="M18" i="17" s="1"/>
  <c r="L18" i="18" s="1"/>
  <c r="M18" i="18" s="1"/>
  <c r="L18" i="19" s="1"/>
  <c r="M18" i="19" s="1"/>
  <c r="L18" i="20" s="1"/>
  <c r="M18" i="20" s="1"/>
  <c r="L18" i="21" s="1"/>
  <c r="M18" i="21" s="1"/>
  <c r="L18" i="22" s="1"/>
  <c r="M18" i="22" s="1"/>
  <c r="L18" i="23" s="1"/>
  <c r="M18" i="23" s="1"/>
  <c r="L18" i="24" s="1"/>
  <c r="M18" i="24" s="1"/>
  <c r="L18" i="25" s="1"/>
  <c r="M18" i="25" s="1"/>
  <c r="L18" i="26" s="1"/>
  <c r="M18" i="26" s="1"/>
  <c r="L18" i="27" s="1"/>
  <c r="M18" i="27" s="1"/>
  <c r="L18" i="28" s="1"/>
  <c r="M18" i="28" s="1"/>
  <c r="L18" i="29" s="1"/>
  <c r="M18" i="29" s="1"/>
  <c r="L18" i="30" s="1"/>
  <c r="M18" i="30" s="1"/>
  <c r="L18" i="31" s="1"/>
  <c r="M18" i="31" s="1"/>
  <c r="L18" i="32" s="1"/>
  <c r="M18" i="32" s="1"/>
  <c r="L18" i="33" s="1"/>
  <c r="M18" i="33" s="1"/>
  <c r="L18" i="34" s="1"/>
  <c r="M18" i="34" s="1"/>
  <c r="L18" i="35" s="1"/>
  <c r="M18" i="35" s="1"/>
  <c r="L14" i="12"/>
  <c r="M14" i="12" s="1"/>
  <c r="L14" i="13" s="1"/>
  <c r="M14" i="13" s="1"/>
  <c r="L14" i="14" s="1"/>
  <c r="M14" i="14" s="1"/>
  <c r="L14" i="15" s="1"/>
  <c r="M14" i="15" s="1"/>
  <c r="L14" i="16" s="1"/>
  <c r="M14" i="16" s="1"/>
  <c r="L14" i="17" s="1"/>
  <c r="M14" i="17" s="1"/>
  <c r="L14" i="18" s="1"/>
  <c r="M14" i="18" s="1"/>
  <c r="L14" i="19" s="1"/>
  <c r="M14" i="19" s="1"/>
  <c r="L14" i="20" s="1"/>
  <c r="M14" i="20" s="1"/>
  <c r="L14" i="21" s="1"/>
  <c r="M14" i="21" s="1"/>
  <c r="L14" i="22" s="1"/>
  <c r="M14" i="22" s="1"/>
  <c r="L14" i="23" s="1"/>
  <c r="M14" i="23" s="1"/>
  <c r="L14" i="24" s="1"/>
  <c r="M14" i="24" s="1"/>
  <c r="L14" i="25" s="1"/>
  <c r="M14" i="25" s="1"/>
  <c r="L14" i="26" s="1"/>
  <c r="M14" i="26" s="1"/>
  <c r="L14" i="27" s="1"/>
  <c r="M14" i="27" s="1"/>
  <c r="L14" i="28" s="1"/>
  <c r="M14" i="28" s="1"/>
  <c r="L14" i="29" s="1"/>
  <c r="M14" i="29" s="1"/>
  <c r="L14" i="30" s="1"/>
  <c r="M14" i="30" s="1"/>
  <c r="L14" i="31" s="1"/>
  <c r="M14" i="31" s="1"/>
  <c r="L14" i="32" s="1"/>
  <c r="M14" i="32" s="1"/>
  <c r="L14" i="33" s="1"/>
  <c r="M14" i="33" s="1"/>
  <c r="L14" i="34" s="1"/>
  <c r="M14" i="34" s="1"/>
  <c r="L14" i="35" s="1"/>
  <c r="M14" i="35" s="1"/>
  <c r="L10" i="12"/>
  <c r="M10" i="12" s="1"/>
  <c r="L10" i="13" s="1"/>
  <c r="M10" i="13" s="1"/>
  <c r="L10" i="14" s="1"/>
  <c r="M10" i="14" s="1"/>
  <c r="L10" i="15" s="1"/>
  <c r="M10" i="15" s="1"/>
  <c r="L10" i="16" s="1"/>
  <c r="M10" i="16" s="1"/>
  <c r="L10" i="17" s="1"/>
  <c r="M10" i="17" s="1"/>
  <c r="L10" i="18" s="1"/>
  <c r="M10" i="18" s="1"/>
  <c r="L10" i="19" s="1"/>
  <c r="M10" i="19" s="1"/>
  <c r="L10" i="20" s="1"/>
  <c r="M10" i="20" s="1"/>
  <c r="L10" i="21" s="1"/>
  <c r="M10" i="21" s="1"/>
  <c r="L10" i="22" s="1"/>
  <c r="M10" i="22" s="1"/>
  <c r="L10" i="23" s="1"/>
  <c r="M10" i="23" s="1"/>
  <c r="L10" i="24" s="1"/>
  <c r="M10" i="24" s="1"/>
  <c r="L10" i="25" s="1"/>
  <c r="M10" i="25" s="1"/>
  <c r="L10" i="26" s="1"/>
  <c r="M10" i="26" s="1"/>
  <c r="L10" i="27" s="1"/>
  <c r="M10" i="27" s="1"/>
  <c r="L10" i="28" s="1"/>
  <c r="M10" i="28" s="1"/>
  <c r="L10" i="29" s="1"/>
  <c r="M10" i="29" s="1"/>
  <c r="L10" i="30" s="1"/>
  <c r="M10" i="30" s="1"/>
  <c r="L10" i="31" s="1"/>
  <c r="M10" i="31" s="1"/>
  <c r="L10" i="32" s="1"/>
  <c r="M10" i="32" s="1"/>
  <c r="L10" i="33" s="1"/>
  <c r="M10" i="33" s="1"/>
  <c r="L10" i="34" s="1"/>
  <c r="M10" i="34" s="1"/>
  <c r="L10" i="35" s="1"/>
  <c r="M10" i="35" s="1"/>
  <c r="L8" i="12"/>
  <c r="M8" i="12" s="1"/>
  <c r="L8" i="13" s="1"/>
  <c r="M8" i="13" s="1"/>
  <c r="L8" i="14" s="1"/>
  <c r="M8" i="14" s="1"/>
  <c r="L8" i="15" s="1"/>
  <c r="M8" i="15" s="1"/>
  <c r="L8" i="16" s="1"/>
  <c r="M8" i="16" s="1"/>
  <c r="L8" i="17" s="1"/>
  <c r="M8" i="17" s="1"/>
  <c r="L8" i="18" s="1"/>
  <c r="M8" i="18" s="1"/>
  <c r="L8" i="19" s="1"/>
  <c r="M8" i="19" s="1"/>
  <c r="L8" i="20" s="1"/>
  <c r="M8" i="20" s="1"/>
  <c r="L8" i="21" s="1"/>
  <c r="M8" i="21" s="1"/>
  <c r="L8" i="22" s="1"/>
  <c r="M8" i="22" s="1"/>
  <c r="L8" i="23" s="1"/>
  <c r="M8" i="23" s="1"/>
  <c r="L8" i="24" s="1"/>
  <c r="M8" i="24" s="1"/>
  <c r="L8" i="25" s="1"/>
  <c r="M8" i="25" s="1"/>
  <c r="L8" i="26" s="1"/>
  <c r="M8" i="26" s="1"/>
  <c r="L8" i="27" s="1"/>
  <c r="M8" i="27" s="1"/>
  <c r="L8" i="28" s="1"/>
  <c r="M8" i="28" s="1"/>
  <c r="L8" i="29" s="1"/>
  <c r="M8" i="29" s="1"/>
  <c r="L8" i="30" s="1"/>
  <c r="M8" i="30" s="1"/>
  <c r="L8" i="31" s="1"/>
  <c r="M8" i="31" s="1"/>
  <c r="L8" i="32" s="1"/>
  <c r="M8" i="32" s="1"/>
  <c r="L8" i="33" s="1"/>
  <c r="M8" i="33" s="1"/>
  <c r="L8" i="34" s="1"/>
  <c r="M8" i="34" s="1"/>
  <c r="L8" i="35" s="1"/>
  <c r="M8" i="35" s="1"/>
  <c r="L15" i="12"/>
  <c r="M15" i="12" s="1"/>
  <c r="L15" i="13" s="1"/>
  <c r="M15" i="13" s="1"/>
  <c r="L15" i="14" s="1"/>
  <c r="M15" i="14" s="1"/>
  <c r="L15" i="15" s="1"/>
  <c r="M15" i="15" s="1"/>
  <c r="L15" i="16" s="1"/>
  <c r="M15" i="16" s="1"/>
  <c r="L15" i="17" s="1"/>
  <c r="M15" i="17" s="1"/>
  <c r="L15" i="18" s="1"/>
  <c r="M15" i="18" s="1"/>
  <c r="L15" i="19" s="1"/>
  <c r="M15" i="19" s="1"/>
  <c r="L15" i="20" s="1"/>
  <c r="M15" i="20" s="1"/>
  <c r="L15" i="21" s="1"/>
  <c r="M15" i="21" s="1"/>
  <c r="L15" i="22" s="1"/>
  <c r="M15" i="22" s="1"/>
  <c r="L15" i="23" s="1"/>
  <c r="M15" i="23" s="1"/>
  <c r="L15" i="24" s="1"/>
  <c r="M15" i="24" s="1"/>
  <c r="L15" i="25" s="1"/>
  <c r="M15" i="25" s="1"/>
  <c r="L15" i="26" s="1"/>
  <c r="M15" i="26" s="1"/>
  <c r="L15" i="27" s="1"/>
  <c r="M15" i="27" s="1"/>
  <c r="L15" i="28" s="1"/>
  <c r="M15" i="28" s="1"/>
  <c r="L15" i="29" s="1"/>
  <c r="M15" i="29" s="1"/>
  <c r="L15" i="30" s="1"/>
  <c r="M15" i="30" s="1"/>
  <c r="L15" i="31" s="1"/>
  <c r="M15" i="31" s="1"/>
  <c r="L15" i="32" s="1"/>
  <c r="M15" i="32" s="1"/>
  <c r="L15" i="33" s="1"/>
  <c r="M15" i="33" s="1"/>
  <c r="L15" i="34" s="1"/>
  <c r="M15" i="34" s="1"/>
  <c r="L15" i="35" s="1"/>
  <c r="M15" i="35" s="1"/>
  <c r="L21" i="12"/>
  <c r="M21" i="12" s="1"/>
  <c r="L21" i="13" s="1"/>
  <c r="M21" i="13" s="1"/>
  <c r="L21" i="14" s="1"/>
  <c r="M21" i="14" s="1"/>
  <c r="L21" i="15" s="1"/>
  <c r="M21" i="15" s="1"/>
  <c r="L21" i="16" s="1"/>
  <c r="M21" i="16" s="1"/>
  <c r="L21" i="17" s="1"/>
  <c r="M21" i="17" s="1"/>
  <c r="L21" i="18" s="1"/>
  <c r="M21" i="18" s="1"/>
  <c r="L21" i="19" s="1"/>
  <c r="M21" i="19" s="1"/>
  <c r="L21" i="20" s="1"/>
  <c r="M21" i="20" s="1"/>
  <c r="L21" i="21" s="1"/>
  <c r="M21" i="21" s="1"/>
  <c r="L21" i="22" s="1"/>
  <c r="M21" i="22" s="1"/>
  <c r="L21" i="23" s="1"/>
  <c r="M21" i="23" s="1"/>
  <c r="L21" i="24" s="1"/>
  <c r="M21" i="24" s="1"/>
  <c r="L21" i="25" s="1"/>
  <c r="M21" i="25" s="1"/>
  <c r="L21" i="26" s="1"/>
  <c r="M21" i="26" s="1"/>
  <c r="L21" i="27" s="1"/>
  <c r="M21" i="27" s="1"/>
  <c r="L21" i="28" s="1"/>
  <c r="M21" i="28" s="1"/>
  <c r="L21" i="29" s="1"/>
  <c r="M21" i="29" s="1"/>
  <c r="L21" i="30" s="1"/>
  <c r="M21" i="30" s="1"/>
  <c r="L21" i="31" s="1"/>
  <c r="M21" i="31" s="1"/>
  <c r="L21" i="32" s="1"/>
  <c r="M21" i="32" s="1"/>
  <c r="L21" i="33" s="1"/>
  <c r="M21" i="33" s="1"/>
  <c r="L21" i="34" s="1"/>
  <c r="M21" i="34" s="1"/>
  <c r="L21" i="35" s="1"/>
  <c r="M21" i="35" s="1"/>
  <c r="L17" i="12"/>
  <c r="M17" i="12" s="1"/>
  <c r="L17" i="13" s="1"/>
  <c r="M17" i="13" s="1"/>
  <c r="L17" i="14" s="1"/>
  <c r="M17" i="14" s="1"/>
  <c r="L17" i="15" s="1"/>
  <c r="M17" i="15" s="1"/>
  <c r="L17" i="16" s="1"/>
  <c r="M17" i="16" s="1"/>
  <c r="L17" i="17" s="1"/>
  <c r="M17" i="17" s="1"/>
  <c r="L17" i="18" s="1"/>
  <c r="M17" i="18" s="1"/>
  <c r="L17" i="19" s="1"/>
  <c r="M17" i="19" s="1"/>
  <c r="L17" i="20" s="1"/>
  <c r="M17" i="20" s="1"/>
  <c r="L17" i="21" s="1"/>
  <c r="M17" i="21" s="1"/>
  <c r="L17" i="22" s="1"/>
  <c r="M17" i="22" s="1"/>
  <c r="L17" i="23" s="1"/>
  <c r="M17" i="23" s="1"/>
  <c r="L17" i="24" s="1"/>
  <c r="M17" i="24" s="1"/>
  <c r="L17" i="25" s="1"/>
  <c r="M17" i="25" s="1"/>
  <c r="L17" i="26" s="1"/>
  <c r="M17" i="26" s="1"/>
  <c r="L17" i="27" s="1"/>
  <c r="M17" i="27" s="1"/>
  <c r="L17" i="28" s="1"/>
  <c r="M17" i="28" s="1"/>
  <c r="L17" i="29" s="1"/>
  <c r="M17" i="29" s="1"/>
  <c r="L17" i="30" s="1"/>
  <c r="M17" i="30" s="1"/>
  <c r="L17" i="31" s="1"/>
  <c r="M17" i="31" s="1"/>
  <c r="L17" i="32" s="1"/>
  <c r="M17" i="32" s="1"/>
  <c r="L17" i="33" s="1"/>
  <c r="M17" i="33" s="1"/>
  <c r="L17" i="34" s="1"/>
  <c r="M17" i="34" s="1"/>
  <c r="L17" i="35" s="1"/>
  <c r="M17" i="35" s="1"/>
  <c r="L13" i="12"/>
  <c r="M13" i="12" s="1"/>
  <c r="L13" i="13" s="1"/>
  <c r="M13" i="13" s="1"/>
  <c r="L13" i="14" s="1"/>
  <c r="M13" i="14" s="1"/>
  <c r="L13" i="15" s="1"/>
  <c r="M13" i="15" s="1"/>
  <c r="L13" i="16" s="1"/>
  <c r="M13" i="16" s="1"/>
  <c r="L13" i="17" s="1"/>
  <c r="M13" i="17" s="1"/>
  <c r="L13" i="18" s="1"/>
  <c r="M13" i="18" s="1"/>
  <c r="L13" i="19" s="1"/>
  <c r="M13" i="19" s="1"/>
  <c r="L13" i="20" s="1"/>
  <c r="M13" i="20" s="1"/>
  <c r="L13" i="21" s="1"/>
  <c r="M13" i="21" s="1"/>
  <c r="L13" i="22" s="1"/>
  <c r="M13" i="22" s="1"/>
  <c r="L13" i="23" s="1"/>
  <c r="M13" i="23" s="1"/>
  <c r="L13" i="24" s="1"/>
  <c r="M13" i="24" s="1"/>
  <c r="L13" i="25" s="1"/>
  <c r="M13" i="25" s="1"/>
  <c r="L13" i="26" s="1"/>
  <c r="M13" i="26" s="1"/>
  <c r="L13" i="27" s="1"/>
  <c r="M13" i="27" s="1"/>
  <c r="L13" i="28" s="1"/>
  <c r="M13" i="28" s="1"/>
  <c r="L13" i="29" s="1"/>
  <c r="M13" i="29" s="1"/>
  <c r="L13" i="30" s="1"/>
  <c r="M13" i="30" s="1"/>
  <c r="L13" i="31" s="1"/>
  <c r="M13" i="31" s="1"/>
  <c r="L13" i="32" s="1"/>
  <c r="M13" i="32" s="1"/>
  <c r="L13" i="33" s="1"/>
  <c r="M13" i="33" s="1"/>
  <c r="L13" i="34" s="1"/>
  <c r="M13" i="34" s="1"/>
  <c r="L13" i="35" s="1"/>
  <c r="M13" i="35" s="1"/>
  <c r="L9" i="12"/>
  <c r="M9" i="12" s="1"/>
  <c r="L9" i="13" s="1"/>
  <c r="M9" i="13" s="1"/>
  <c r="L9" i="14" s="1"/>
  <c r="M9" i="14" s="1"/>
  <c r="L9" i="15" s="1"/>
  <c r="M9" i="15" s="1"/>
  <c r="L9" i="16" s="1"/>
  <c r="M9" i="16" s="1"/>
  <c r="L9" i="17" s="1"/>
  <c r="M9" i="17" s="1"/>
  <c r="L9" i="18" s="1"/>
  <c r="M9" i="18" s="1"/>
  <c r="L9" i="19" s="1"/>
  <c r="M9" i="19" s="1"/>
  <c r="L9" i="20" s="1"/>
  <c r="M9" i="20" s="1"/>
  <c r="L9" i="21" s="1"/>
  <c r="M9" i="21" s="1"/>
  <c r="L9" i="22" s="1"/>
  <c r="M9" i="22" s="1"/>
  <c r="L9" i="23" s="1"/>
  <c r="M9" i="23" s="1"/>
  <c r="L9" i="24" s="1"/>
  <c r="M9" i="24" s="1"/>
  <c r="L9" i="25" s="1"/>
  <c r="M9" i="25" s="1"/>
  <c r="L9" i="26" s="1"/>
  <c r="M9" i="26" s="1"/>
  <c r="L9" i="27" s="1"/>
  <c r="M9" i="27" s="1"/>
  <c r="L9" i="28" s="1"/>
  <c r="M9" i="28" s="1"/>
  <c r="L9" i="29" s="1"/>
  <c r="M9" i="29" s="1"/>
  <c r="L9" i="30" s="1"/>
  <c r="M9" i="30" s="1"/>
  <c r="L9" i="31" s="1"/>
  <c r="M9" i="31" s="1"/>
  <c r="L9" i="32" s="1"/>
  <c r="M9" i="32" s="1"/>
  <c r="L9" i="33" s="1"/>
  <c r="M9" i="33" s="1"/>
  <c r="L9" i="34" s="1"/>
  <c r="M9" i="34" s="1"/>
  <c r="L9" i="35" s="1"/>
  <c r="M9" i="35" s="1"/>
  <c r="L20" i="12"/>
  <c r="M20" i="12" s="1"/>
  <c r="L20" i="13" s="1"/>
  <c r="M20" i="13" s="1"/>
  <c r="L20" i="14" s="1"/>
  <c r="M20" i="14" s="1"/>
  <c r="L20" i="15" s="1"/>
  <c r="M20" i="15" s="1"/>
  <c r="L20" i="16" s="1"/>
  <c r="M20" i="16" s="1"/>
  <c r="L20" i="17" s="1"/>
  <c r="M20" i="17" s="1"/>
  <c r="L20" i="18" s="1"/>
  <c r="M20" i="18" s="1"/>
  <c r="L20" i="19" s="1"/>
  <c r="M20" i="19" s="1"/>
  <c r="L20" i="20" s="1"/>
  <c r="M20" i="20" s="1"/>
  <c r="L20" i="21" s="1"/>
  <c r="M20" i="21" s="1"/>
  <c r="L20" i="22" s="1"/>
  <c r="M20" i="22" s="1"/>
  <c r="L20" i="23" s="1"/>
  <c r="M20" i="23" s="1"/>
  <c r="L20" i="24" s="1"/>
  <c r="M20" i="24" s="1"/>
  <c r="L20" i="25" s="1"/>
  <c r="M20" i="25" s="1"/>
  <c r="L20" i="26" s="1"/>
  <c r="M20" i="26" s="1"/>
  <c r="L20" i="27" s="1"/>
  <c r="M20" i="27" s="1"/>
  <c r="L20" i="28" s="1"/>
  <c r="M20" i="28" s="1"/>
  <c r="L20" i="29" s="1"/>
  <c r="M20" i="29" s="1"/>
  <c r="L20" i="30" s="1"/>
  <c r="M20" i="30" s="1"/>
  <c r="L20" i="31" s="1"/>
  <c r="M20" i="31" s="1"/>
  <c r="L20" i="32" s="1"/>
  <c r="M20" i="32" s="1"/>
  <c r="L20" i="33" s="1"/>
  <c r="M20" i="33" s="1"/>
  <c r="L20" i="34" s="1"/>
  <c r="M20" i="34" s="1"/>
  <c r="L20" i="35" s="1"/>
  <c r="M20" i="35" s="1"/>
  <c r="L16" i="12"/>
  <c r="M16" i="12" s="1"/>
  <c r="L16" i="13" s="1"/>
  <c r="M16" i="13" s="1"/>
  <c r="L16" i="14" s="1"/>
  <c r="M16" i="14" s="1"/>
  <c r="L16" i="15" s="1"/>
  <c r="M16" i="15" s="1"/>
  <c r="L16" i="16" s="1"/>
  <c r="M16" i="16" s="1"/>
  <c r="L16" i="17" s="1"/>
  <c r="M16" i="17" s="1"/>
  <c r="L16" i="18" s="1"/>
  <c r="M16" i="18" s="1"/>
  <c r="L16" i="19" s="1"/>
  <c r="M16" i="19" s="1"/>
  <c r="L16" i="20" s="1"/>
  <c r="M16" i="20" s="1"/>
  <c r="L16" i="21" s="1"/>
  <c r="M16" i="21" s="1"/>
  <c r="L16" i="22" s="1"/>
  <c r="M16" i="22" s="1"/>
  <c r="L16" i="23" s="1"/>
  <c r="M16" i="23" s="1"/>
  <c r="L16" i="24" s="1"/>
  <c r="M16" i="24" s="1"/>
  <c r="L16" i="25" s="1"/>
  <c r="M16" i="25" s="1"/>
  <c r="L16" i="26" s="1"/>
  <c r="M16" i="26" s="1"/>
  <c r="L16" i="27" s="1"/>
  <c r="M16" i="27" s="1"/>
  <c r="L16" i="28" s="1"/>
  <c r="M16" i="28" s="1"/>
  <c r="L16" i="29" s="1"/>
  <c r="M16" i="29" s="1"/>
  <c r="L16" i="30" s="1"/>
  <c r="M16" i="30" s="1"/>
  <c r="L16" i="31" s="1"/>
  <c r="M16" i="31" s="1"/>
  <c r="L16" i="32" s="1"/>
  <c r="M16" i="32" s="1"/>
  <c r="L16" i="33" s="1"/>
  <c r="M16" i="33" s="1"/>
  <c r="L16" i="34" s="1"/>
  <c r="M16" i="34" s="1"/>
  <c r="L16" i="35" s="1"/>
  <c r="M16" i="35" s="1"/>
  <c r="L12" i="12"/>
  <c r="M12" i="12" s="1"/>
  <c r="L12" i="13" s="1"/>
  <c r="M12" i="13" s="1"/>
  <c r="L12" i="14" s="1"/>
  <c r="M12" i="14" s="1"/>
  <c r="L12" i="15" s="1"/>
  <c r="M12" i="15" s="1"/>
  <c r="L12" i="16" s="1"/>
  <c r="M12" i="16" s="1"/>
  <c r="L12" i="17" s="1"/>
  <c r="M12" i="17" s="1"/>
  <c r="L12" i="18" s="1"/>
  <c r="M12" i="18" s="1"/>
  <c r="L12" i="19" s="1"/>
  <c r="M12" i="19" s="1"/>
  <c r="L12" i="20" s="1"/>
  <c r="M12" i="20" s="1"/>
  <c r="L12" i="21" s="1"/>
  <c r="M12" i="21" s="1"/>
  <c r="L12" i="22" s="1"/>
  <c r="M12" i="22" s="1"/>
  <c r="L12" i="23" s="1"/>
  <c r="M12" i="23" s="1"/>
  <c r="L12" i="24" s="1"/>
  <c r="M12" i="24" s="1"/>
  <c r="L12" i="25" s="1"/>
  <c r="M12" i="25" s="1"/>
  <c r="L12" i="26" s="1"/>
  <c r="M12" i="26" s="1"/>
  <c r="L12" i="27" s="1"/>
  <c r="M12" i="27" s="1"/>
  <c r="L12" i="28" s="1"/>
  <c r="M12" i="28" s="1"/>
  <c r="L12" i="29" s="1"/>
  <c r="M12" i="29" s="1"/>
  <c r="L12" i="30" s="1"/>
  <c r="M12" i="30" s="1"/>
  <c r="L12" i="31" s="1"/>
  <c r="M12" i="31" s="1"/>
  <c r="L12" i="32" s="1"/>
  <c r="M12" i="32" s="1"/>
  <c r="L12" i="33" s="1"/>
  <c r="M12" i="33" s="1"/>
  <c r="L12" i="34" s="1"/>
  <c r="M12" i="34" s="1"/>
  <c r="L12" i="35" s="1"/>
  <c r="M12" i="35" s="1"/>
  <c r="L23" i="12"/>
  <c r="M23" i="12" s="1"/>
  <c r="L23" i="13" s="1"/>
  <c r="M23" i="13" s="1"/>
  <c r="L23" i="14" s="1"/>
  <c r="M23" i="14" s="1"/>
  <c r="L23" i="15" s="1"/>
  <c r="M23" i="15" s="1"/>
  <c r="L23" i="16" s="1"/>
  <c r="M23" i="16" s="1"/>
  <c r="L23" i="17" s="1"/>
  <c r="M23" i="17" s="1"/>
  <c r="L23" i="18" s="1"/>
  <c r="M23" i="18" s="1"/>
  <c r="L23" i="19" s="1"/>
  <c r="M23" i="19" s="1"/>
  <c r="L23" i="20" s="1"/>
  <c r="M23" i="20" s="1"/>
  <c r="L23" i="21" s="1"/>
  <c r="M23" i="21" s="1"/>
  <c r="L23" i="22" s="1"/>
  <c r="M23" i="22" s="1"/>
  <c r="L23" i="23" s="1"/>
  <c r="M23" i="23" s="1"/>
  <c r="L23" i="24" s="1"/>
  <c r="M23" i="24" s="1"/>
  <c r="L23" i="25" s="1"/>
  <c r="M23" i="25" s="1"/>
  <c r="L23" i="26" s="1"/>
  <c r="M23" i="26" s="1"/>
  <c r="L23" i="27" s="1"/>
  <c r="M23" i="27" s="1"/>
  <c r="L23" i="28" s="1"/>
  <c r="M23" i="28" s="1"/>
  <c r="L23" i="29" s="1"/>
  <c r="M23" i="29" s="1"/>
  <c r="L23" i="30" s="1"/>
  <c r="M23" i="30" s="1"/>
  <c r="L23" i="31" s="1"/>
  <c r="M23" i="31" s="1"/>
  <c r="L23" i="32" s="1"/>
  <c r="M23" i="32" s="1"/>
  <c r="L23" i="33" s="1"/>
  <c r="M23" i="33" s="1"/>
  <c r="L23" i="34" s="1"/>
  <c r="M23" i="34" s="1"/>
  <c r="L23" i="35" s="1"/>
  <c r="M23" i="35" s="1"/>
  <c r="H23" i="5"/>
  <c r="H22" i="5"/>
  <c r="H21" i="5"/>
  <c r="H20" i="5"/>
  <c r="H19" i="5"/>
  <c r="H18" i="5"/>
  <c r="H17" i="5"/>
  <c r="H16" i="5"/>
  <c r="H15" i="5"/>
  <c r="H14" i="5"/>
  <c r="H13" i="5"/>
  <c r="H12" i="5"/>
  <c r="H10" i="5"/>
  <c r="H9" i="5"/>
  <c r="H8" i="5"/>
  <c r="H7" i="5"/>
  <c r="J25" i="5" l="1"/>
  <c r="K25" i="5"/>
  <c r="I25" i="5"/>
</calcChain>
</file>

<file path=xl/sharedStrings.xml><?xml version="1.0" encoding="utf-8"?>
<sst xmlns="http://schemas.openxmlformats.org/spreadsheetml/2006/main" count="682" uniqueCount="26">
  <si>
    <t>TARİH</t>
  </si>
  <si>
    <t xml:space="preserve">MİSAFİR  </t>
  </si>
  <si>
    <t xml:space="preserve">GİRİŞ  </t>
  </si>
  <si>
    <t xml:space="preserve">ÇIKIŞ  </t>
  </si>
  <si>
    <t xml:space="preserve">TOPLAM   </t>
  </si>
  <si>
    <t>ODA FİYATI</t>
  </si>
  <si>
    <t>TOPLAM</t>
  </si>
  <si>
    <t xml:space="preserve">                       ÖDEME TİPİ</t>
  </si>
  <si>
    <t>ODA NO</t>
  </si>
  <si>
    <t xml:space="preserve"> ADI SOYADI</t>
  </si>
  <si>
    <t>TARİHİ</t>
  </si>
  <si>
    <t xml:space="preserve"> TARİHİ</t>
  </si>
  <si>
    <t xml:space="preserve"> GECELEME</t>
  </si>
  <si>
    <t>TL</t>
  </si>
  <si>
    <t>TUTAR</t>
  </si>
  <si>
    <t xml:space="preserve">NAKİT </t>
  </si>
  <si>
    <t>KREDİ KARTI</t>
  </si>
  <si>
    <t>HAVALE</t>
  </si>
  <si>
    <t>BAKİYE</t>
  </si>
  <si>
    <t>DÜNDEN DEVİR</t>
  </si>
  <si>
    <t>SAMARDAK MILENA</t>
  </si>
  <si>
    <t>01,10,2026</t>
  </si>
  <si>
    <t>4,10,2026</t>
  </si>
  <si>
    <t>Ekatarina</t>
  </si>
  <si>
    <t>Aleksey</t>
  </si>
  <si>
    <t>Ali Veli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</si>
</sst>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&quot;₺&quot;#,##0.00"/>
  </numFmts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5" fontId="1" fillId="0" borderId="7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5" fontId="1" fillId="0" borderId="9" xfId="0" applyNumberFormat="1" applyFont="1" applyBorder="1" applyAlignment="1">
      <alignment horizontal="center"/>
    </xf>
    <xf numFmtId="0" fontId="1" fillId="0" borderId="0" xfId="0" applyFont="1"/>
    <xf numFmtId="164" fontId="2" fillId="2" borderId="1" xfId="0" applyNumberFormat="1" applyFont="1" applyFill="1" applyBorder="1" applyAlignment="1">
      <alignment horizontal="center"/>
    </xf>
    <xf numFmtId="165" fontId="1" fillId="2" borderId="7" xfId="0" applyNumberFormat="1" applyFont="1" applyFill="1" applyBorder="1" applyAlignment="1">
      <alignment horizontal="center"/>
    </xf>
    <xf numFmtId="165" fontId="1" fillId="2" borderId="8" xfId="0" applyNumberFormat="1" applyFont="1" applyFill="1" applyBorder="1" applyAlignment="1">
      <alignment horizontal="center"/>
    </xf>
    <xf numFmtId="165" fontId="1" fillId="2" borderId="9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1" fillId="2" borderId="10" xfId="0" applyNumberFormat="1" applyFont="1" applyFill="1" applyBorder="1" applyAlignment="1">
      <alignment horizontal="center"/>
    </xf>
    <xf numFmtId="165" fontId="1" fillId="2" borderId="11" xfId="0" applyNumberFormat="1" applyFont="1" applyFill="1" applyBorder="1" applyAlignment="1">
      <alignment horizontal="center"/>
    </xf>
    <xf numFmtId="165" fontId="1" fillId="2" borderId="1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Ahmet/Desktop/qpera%20g&#252;nl&#252;k%20-%20ayl&#305;k%20kasa/9%20-%20EYL&#220;L%202026/09%20-%20EYL&#220;L%202026.xlsx" TargetMode="External"/><Relationship Id="rId1" Type="http://schemas.openxmlformats.org/officeDocument/2006/relationships/externalLinkPath" Target="/Users/Ahmet/Desktop/qpera%20g&#252;nl&#252;k%20-%20ayl&#305;k%20kasa/9%20-%20EYL&#220;L%202026/09%20-%20EYL&#220;L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6.09"/>
      <sheetName val="27.09"/>
      <sheetName val="28.09"/>
      <sheetName val="29.09"/>
      <sheetName val="30.09"/>
    </sheetNames>
    <sheetDataSet>
      <sheetData sheetId="0"/>
      <sheetData sheetId="1"/>
      <sheetData sheetId="2"/>
      <sheetData sheetId="3"/>
      <sheetData sheetId="4">
        <row r="7">
          <cell r="M7">
            <v>0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M11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0">
          <cell r="M20">
            <v>0</v>
          </cell>
        </row>
        <row r="21">
          <cell r="M21">
            <v>0</v>
          </cell>
        </row>
        <row r="22">
          <cell r="M22">
            <v>0</v>
          </cell>
        </row>
        <row r="23">
          <cell r="M2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25"/>
  <sheetViews>
    <sheetView topLeftCell="A4" workbookViewId="0">
      <selection activeCell="I8" sqref="I8"/>
    </sheetView>
  </sheetViews>
  <sheetFormatPr defaultRowHeight="15" x14ac:dyDescent="0.25"/>
  <cols>
    <col min="1" max="1" width="6" customWidth="1"/>
    <col min="2" max="2" width="12.85546875" customWidth="1"/>
    <col min="3" max="3" width="19" bestFit="1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10.2851562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46296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'[1]30.09'!$M$7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'[1]30.09'!$M$8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'[1]30.09'!$M$9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'[1]30.09'!$M$10</f>
        <v>0</v>
      </c>
      <c r="M10" s="24">
        <f t="shared" si="1"/>
        <v>0</v>
      </c>
    </row>
    <row r="11" spans="2:13" x14ac:dyDescent="0.25">
      <c r="B11" s="11">
        <v>202</v>
      </c>
      <c r="C11" s="11" t="s">
        <v>20</v>
      </c>
      <c r="D11" s="12" t="s">
        <v>21</v>
      </c>
      <c r="E11" s="12" t="s">
        <v>22</v>
      </c>
      <c r="F11" s="11">
        <v>4</v>
      </c>
      <c r="G11" s="13">
        <v>2000</v>
      </c>
      <c r="H11" s="20">
        <f t="shared" si="0"/>
        <v>8000</v>
      </c>
      <c r="I11" s="13">
        <v>8000</v>
      </c>
      <c r="J11" s="13"/>
      <c r="K11" s="13"/>
      <c r="L11" s="24">
        <f>'[1]30.09'!$M$11</f>
        <v>0</v>
      </c>
      <c r="M11" s="24">
        <f t="shared" si="1"/>
        <v>-6000</v>
      </c>
    </row>
    <row r="12" spans="2:13" x14ac:dyDescent="0.25">
      <c r="B12" s="11">
        <v>203</v>
      </c>
      <c r="C12" s="11" t="s">
        <v>23</v>
      </c>
      <c r="D12" s="12" t="s">
        <v>21</v>
      </c>
      <c r="E12" s="12" t="s">
        <v>22</v>
      </c>
      <c r="F12" s="11">
        <v>4</v>
      </c>
      <c r="G12" s="13">
        <v>2000</v>
      </c>
      <c r="H12" s="20">
        <f t="shared" si="0"/>
        <v>8000</v>
      </c>
      <c r="I12" s="13">
        <v>8000</v>
      </c>
      <c r="J12" s="13"/>
      <c r="K12" s="13"/>
      <c r="L12" s="24">
        <f>'[1]30.09'!$M$12</f>
        <v>0</v>
      </c>
      <c r="M12" s="24">
        <f t="shared" si="1"/>
        <v>-6000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'[1]30.09'!$M$13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'[1]30.09'!$M$14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'[1]30.09'!$M$15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'[1]30.09'!$M$16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'[1]30.09'!$M$17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'[1]30.09'!$M$18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'[1]30.09'!$M$19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'[1]30.09'!$M$20</f>
        <v>0</v>
      </c>
      <c r="M20" s="24">
        <f t="shared" si="1"/>
        <v>0</v>
      </c>
    </row>
    <row r="21" spans="2:13" x14ac:dyDescent="0.25">
      <c r="B21" s="11">
        <v>503</v>
      </c>
      <c r="C21" s="11" t="s">
        <v>24</v>
      </c>
      <c r="D21" s="12" t="s">
        <v>21</v>
      </c>
      <c r="E21" s="12" t="s">
        <v>22</v>
      </c>
      <c r="F21" s="11">
        <v>4</v>
      </c>
      <c r="G21" s="13">
        <v>2820</v>
      </c>
      <c r="H21" s="20">
        <f t="shared" si="0"/>
        <v>11280</v>
      </c>
      <c r="I21" s="13">
        <v>11280</v>
      </c>
      <c r="J21" s="13"/>
      <c r="K21" s="13"/>
      <c r="L21" s="24">
        <f>'[1]30.09'!$M$21</f>
        <v>0</v>
      </c>
      <c r="M21" s="24">
        <f t="shared" si="1"/>
        <v>-8460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'[1]30.09'!$M$22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'[1]30.09'!$M$23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27280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M25"/>
  <sheetViews>
    <sheetView topLeftCell="A4" workbookViewId="0">
      <selection activeCell="D8" sqref="D8"/>
    </sheetView>
  </sheetViews>
  <sheetFormatPr defaultRowHeight="15" x14ac:dyDescent="0.25"/>
  <cols>
    <col min="1" max="1" width="6" customWidth="1"/>
    <col min="2" max="2" width="12.85546875" customWidth="1"/>
    <col min="3" max="3" width="19" bestFit="1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10.2851562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46297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'01.10'!M7</f>
        <v>0</v>
      </c>
      <c r="M7" s="23">
        <f>G7-I7-J7-K7+L7</f>
        <v>0</v>
      </c>
    </row>
    <row r="8" spans="2:13" x14ac:dyDescent="0.25">
      <c r="B8" s="11">
        <v>102</v>
      </c>
      <c r="C8" s="11" t="s">
        <v>25</v>
      </c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'01.10'!M8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'01.10'!M9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'01.10'!M10</f>
        <v>0</v>
      </c>
      <c r="M10" s="24">
        <f t="shared" si="1"/>
        <v>0</v>
      </c>
    </row>
    <row r="11" spans="2:13" x14ac:dyDescent="0.25">
      <c r="B11" s="11">
        <v>202</v>
      </c>
      <c r="C11" s="11" t="s">
        <v>20</v>
      </c>
      <c r="D11" s="12" t="s">
        <v>21</v>
      </c>
      <c r="E11" s="12" t="s">
        <v>22</v>
      </c>
      <c r="F11" s="11">
        <v>4</v>
      </c>
      <c r="G11" s="13">
        <v>2000</v>
      </c>
      <c r="H11" s="20">
        <f t="shared" si="0"/>
        <v>8000</v>
      </c>
      <c r="I11" s="13"/>
      <c r="J11" s="13"/>
      <c r="K11" s="13"/>
      <c r="L11" s="24">
        <f>'01.10'!M11</f>
        <v>-6000</v>
      </c>
      <c r="M11" s="24">
        <f t="shared" si="1"/>
        <v>-4000</v>
      </c>
    </row>
    <row r="12" spans="2:13" x14ac:dyDescent="0.25">
      <c r="B12" s="11">
        <v>203</v>
      </c>
      <c r="C12" s="11" t="s">
        <v>23</v>
      </c>
      <c r="D12" s="12" t="s">
        <v>21</v>
      </c>
      <c r="E12" s="12" t="s">
        <v>22</v>
      </c>
      <c r="F12" s="11">
        <v>4</v>
      </c>
      <c r="G12" s="13">
        <v>2000</v>
      </c>
      <c r="H12" s="20">
        <f t="shared" si="0"/>
        <v>8000</v>
      </c>
      <c r="I12" s="13"/>
      <c r="J12" s="13"/>
      <c r="K12" s="13"/>
      <c r="L12" s="24">
        <f>'01.10'!M12</f>
        <v>-6000</v>
      </c>
      <c r="M12" s="24">
        <f t="shared" si="1"/>
        <v>-4000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'01.10'!M13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'01.10'!M14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'01.10'!M15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'01.10'!M16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'01.10'!M17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'01.10'!M18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'01.10'!M19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'01.10'!M20</f>
        <v>0</v>
      </c>
      <c r="M20" s="24">
        <f t="shared" si="1"/>
        <v>0</v>
      </c>
    </row>
    <row r="21" spans="2:13" x14ac:dyDescent="0.25">
      <c r="B21" s="11">
        <v>503</v>
      </c>
      <c r="C21" s="11" t="s">
        <v>24</v>
      </c>
      <c r="D21" s="12" t="s">
        <v>21</v>
      </c>
      <c r="E21" s="12" t="s">
        <v>22</v>
      </c>
      <c r="F21" s="11">
        <v>4</v>
      </c>
      <c r="G21" s="13">
        <v>2820</v>
      </c>
      <c r="H21" s="20">
        <f t="shared" si="0"/>
        <v>11280</v>
      </c>
      <c r="I21" s="13"/>
      <c r="J21" s="13"/>
      <c r="K21" s="13"/>
      <c r="L21" s="24">
        <f>'01.10'!M21</f>
        <v>-8460</v>
      </c>
      <c r="M21" s="24">
        <f t="shared" si="1"/>
        <v>-5640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'01.10'!M22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'01.10'!M23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M25"/>
  <sheetViews>
    <sheetView workbookViewId="0">
      <selection activeCell="C7" sqref="C7:G23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10.2851562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46298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'02.10'!M7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'02.10'!M8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'02.10'!M9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'02.10'!M10</f>
        <v>0</v>
      </c>
      <c r="M10" s="24">
        <f t="shared" si="1"/>
        <v>0</v>
      </c>
    </row>
    <row r="11" spans="2:13" x14ac:dyDescent="0.25">
      <c r="B11" s="11">
        <v>202</v>
      </c>
      <c r="C11" s="11" t="s">
        <v>20</v>
      </c>
      <c r="D11" s="12" t="s">
        <v>21</v>
      </c>
      <c r="E11" s="12" t="s">
        <v>22</v>
      </c>
      <c r="F11" s="11">
        <v>4</v>
      </c>
      <c r="G11" s="13">
        <v>2000</v>
      </c>
      <c r="H11" s="20">
        <f t="shared" si="0"/>
        <v>8000</v>
      </c>
      <c r="I11" s="13"/>
      <c r="J11" s="13"/>
      <c r="K11" s="13"/>
      <c r="L11" s="24">
        <f>'02.10'!M11</f>
        <v>-4000</v>
      </c>
      <c r="M11" s="24">
        <f t="shared" si="1"/>
        <v>-2000</v>
      </c>
    </row>
    <row r="12" spans="2:13" x14ac:dyDescent="0.25">
      <c r="B12" s="11">
        <v>203</v>
      </c>
      <c r="C12" s="11" t="s">
        <v>23</v>
      </c>
      <c r="D12" s="12" t="s">
        <v>21</v>
      </c>
      <c r="E12" s="12" t="s">
        <v>22</v>
      </c>
      <c r="F12" s="11">
        <v>4</v>
      </c>
      <c r="G12" s="13">
        <v>2000</v>
      </c>
      <c r="H12" s="20">
        <f t="shared" si="0"/>
        <v>8000</v>
      </c>
      <c r="I12" s="13"/>
      <c r="J12" s="13"/>
      <c r="K12" s="13"/>
      <c r="L12" s="24">
        <f>'02.10'!M12</f>
        <v>-4000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'02.10'!M13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'02.10'!M14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'02.10'!M15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'02.10'!M16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'02.10'!M17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'02.10'!M18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'02.10'!M19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'02.10'!M20</f>
        <v>0</v>
      </c>
      <c r="M20" s="24">
        <f t="shared" si="1"/>
        <v>0</v>
      </c>
    </row>
    <row r="21" spans="2:13" x14ac:dyDescent="0.25">
      <c r="B21" s="11">
        <v>503</v>
      </c>
      <c r="C21" s="11" t="s">
        <v>24</v>
      </c>
      <c r="D21" s="12" t="s">
        <v>21</v>
      </c>
      <c r="E21" s="12" t="s">
        <v>22</v>
      </c>
      <c r="F21" s="11">
        <v>4</v>
      </c>
      <c r="G21" s="13">
        <v>2820</v>
      </c>
      <c r="H21" s="20">
        <f t="shared" si="0"/>
        <v>11280</v>
      </c>
      <c r="I21" s="13"/>
      <c r="J21" s="13"/>
      <c r="K21" s="13"/>
      <c r="L21" s="24">
        <f>'02.10'!M21</f>
        <v>-5640</v>
      </c>
      <c r="M21" s="24">
        <f t="shared" si="1"/>
        <v>-2820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'02.10'!M22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'02.10'!M23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25"/>
  <sheetViews>
    <sheetView tabSelected="1" workbookViewId="0">
      <selection activeCell="J9" sqref="J9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10.2851562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46299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'03.10'!M7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'03.10'!M8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'03.10'!M9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'03.10'!M10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'03.10'!M11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'03.10'!M12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'03.10'!M13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'03.10'!M14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'03.10'!M15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'03.10'!M16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'03.10'!M17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'03.10'!M18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'03.10'!M19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'03.10'!M20</f>
        <v>0</v>
      </c>
      <c r="M20" s="24">
        <f t="shared" si="1"/>
        <v>0</v>
      </c>
    </row>
    <row r="21" spans="2:13" x14ac:dyDescent="0.25">
      <c r="B21" s="11">
        <v>503</v>
      </c>
      <c r="C21" s="11" t="s">
        <v>24</v>
      </c>
      <c r="D21" s="12" t="s">
        <v>21</v>
      </c>
      <c r="E21" s="12" t="s">
        <v>22</v>
      </c>
      <c r="F21" s="11">
        <v>4</v>
      </c>
      <c r="G21" s="13">
        <v>2820</v>
      </c>
      <c r="H21" s="20">
        <f t="shared" si="0"/>
        <v>11280</v>
      </c>
      <c r="I21" s="13"/>
      <c r="J21" s="13"/>
      <c r="K21" s="13"/>
      <c r="L21" s="24">
        <f>'03.10'!M21</f>
        <v>-2820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'03.10'!M22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'03.10'!M23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M25"/>
  <sheetViews>
    <sheetView workbookViewId="0">
      <selection activeCell="C11" sqref="C11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46300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'04.10'!M7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'04.10'!M8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'04.10'!M9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'04.10'!M10</f>
        <v>0</v>
      </c>
      <c r="M10" s="24">
        <f t="shared" si="1"/>
        <v>0</v>
      </c>
    </row>
    <row r="11" spans="2:13" x14ac:dyDescent="0.25">
      <c r="B11" s="11">
        <v>202</v>
      </c>
      <c r="C11" s="11">
        <v>1</v>
      </c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'04.10'!M11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'04.10'!M12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'04.10'!M13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'04.10'!M14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'04.10'!M15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'04.10'!M16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'04.10'!M17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'04.10'!M18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'04.10'!M19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'04.10'!M20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'04.10'!M21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'04.10'!M22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'04.10'!M23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M25"/>
  <sheetViews>
    <sheetView workbookViewId="0">
      <selection activeCell="M16" sqref="M16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46301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'05.10'!M7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'05.10'!M8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'05.10'!M9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'05.10'!M10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'05.10'!M11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'05.10'!M12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'05.10'!M13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'05.10'!M14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'05.10'!M15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'05.10'!M16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'05.10'!M17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'05.10'!M18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'05.10'!M19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'05.10'!M20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'05.10'!M21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'05.10'!M22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'05.10'!M23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M25"/>
  <sheetViews>
    <sheetView workbookViewId="0">
      <selection activeCell="L16" sqref="L16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46302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'06.10'!M7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'06.10'!M8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'06.10'!M9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'06.10'!M10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'06.10'!M11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'06.10'!M12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'06.10'!M13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'06.10'!M14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'06.10'!M15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'06.10'!M16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'06.10'!M17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'06.10'!M18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'06.10'!M19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'06.10'!M20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'06.10'!M21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'06.10'!M22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'06.10'!M23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M25"/>
  <sheetViews>
    <sheetView workbookViewId="0">
      <selection activeCell="L23" sqref="L23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46303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'07.10'!M7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'07.10'!M8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'07.10'!M9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'07.10'!M10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'07.10'!M11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'07.10'!M12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'07.10'!M13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'07.10'!M14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'07.10'!M15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'07.10'!M16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'07.10'!M17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'07.10'!M18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'07.10'!M19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'07.10'!M20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'07.10'!M21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'07.10'!M22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'07.10'!M23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M25"/>
  <sheetViews>
    <sheetView workbookViewId="0">
      <selection activeCell="L7" sqref="L7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46304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'08.10'!M7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'08.10'!M8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'08.10'!M9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'08.10'!M10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'08.10'!M11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'08.10'!M12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'08.10'!M13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'08.10'!M14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'08.10'!M15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'08.10'!M16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'08.10'!M17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'08.10'!M18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'08.10'!M19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'08.10'!M20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'08.10'!M21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'08.10'!M22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'08.10'!M23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M25"/>
  <sheetViews>
    <sheetView workbookViewId="0">
      <selection activeCell="F33" sqref="F33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46305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'09.10'!M7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'09.10'!M8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'09.10'!M9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'09.10'!M10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'09.10'!M11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'09.10'!M12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'09.10'!M13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'09.10'!M14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'09.10'!M15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'09.10'!M16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'09.10'!M17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'09.10'!M18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'09.10'!M19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'09.10'!M20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'09.10'!M21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'09.10'!M22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'09.10'!M23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M25"/>
  <sheetViews>
    <sheetView workbookViewId="0">
      <selection activeCell="L24" sqref="L24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46306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'10.10'!M7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'10.10'!M8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'10.10'!M9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'10.10'!M10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'10.10'!M11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'10.10'!M12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'10.10'!M13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'10.10'!M14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'10.10'!M15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'10.10'!M16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'10.10'!M17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'10.10'!M18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'10.10'!M19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'10.10'!M20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'10.10'!M21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'10.10'!M22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'10.10'!M23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M25"/>
  <sheetViews>
    <sheetView workbookViewId="0">
      <selection activeCell="L24" sqref="L24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46307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'11.10'!M7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'11.10'!M8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'11.10'!M9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'11.10'!M10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'11.10'!M11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'11.10'!M12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'11.10'!M13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'11.10'!M14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'11.10'!M15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'11.10'!M16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'11.10'!M17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'11.10'!M18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'11.10'!M19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'11.10'!M20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'11.10'!M21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'11.10'!M22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'11.10'!M23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M25"/>
  <sheetViews>
    <sheetView workbookViewId="0">
      <selection activeCell="L24" sqref="L24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46308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'12.10'!M7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'12.10'!M8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'12.10'!M9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'12.10'!M10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'12.10'!M11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'12.10'!M12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'12.10'!M13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'12.10'!M14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'12.10'!M15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'12.10'!M16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'12.10'!M17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'12.10'!M18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'12.10'!M19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'12.10'!M20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'12.10'!M21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'12.10'!M22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'12.10'!M23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3:M25"/>
  <sheetViews>
    <sheetView workbookViewId="0">
      <selection activeCell="L24" sqref="L24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46309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'13.10'!M7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'13.10'!M8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'13.10'!M9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'13.10'!M10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'13.10'!M11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'13.10'!M12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'13.10'!M13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'13.10'!M14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'13.10'!M15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'13.10'!M16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'13.10'!M17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'13.10'!M18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'13.10'!M19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'13.10'!M20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'13.10'!M21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'13.10'!M22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'13.10'!M23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3:M25"/>
  <sheetViews>
    <sheetView workbookViewId="0">
      <selection activeCell="L24" sqref="L24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46310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'14.10'!M7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'14.10'!M8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'14.10'!M9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'14.10'!M10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'14.10'!M11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'14.10'!M12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'14.10'!M13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'14.10'!M14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'14.10'!M15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'14.10'!M16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'14.10'!M17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'14.10'!M18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'14.10'!M19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'14.10'!M20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'14.10'!M21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'14.10'!M22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'14.10'!M23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3:M25"/>
  <sheetViews>
    <sheetView workbookViewId="0">
      <selection activeCell="L24" sqref="L24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46311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'15.10'!M7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'15.10'!M8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'15.10'!M9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'15.10'!M10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'15.10'!M11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'15.10'!M12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'15.10'!M13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'15.10'!M14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'15.10'!M15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'15.10'!M16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'15.10'!M17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'15.10'!M18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'15.10'!M19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'15.10'!M20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'15.10'!M21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'15.10'!M22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'15.10'!M23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3:M25"/>
  <sheetViews>
    <sheetView workbookViewId="0">
      <selection activeCell="L24" sqref="L24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46312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'16.10'!M7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'16.10'!M8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'16.10'!M9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'16.10'!M10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'16.10'!M11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'16.10'!M12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'16.10'!M13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'16.10'!M14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'16.10'!M15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'16.10'!M16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'16.10'!M17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'16.10'!M18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'16.10'!M19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'16.10'!M20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'16.10'!M21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'16.10'!M22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'16.10'!M23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3:M25"/>
  <sheetViews>
    <sheetView workbookViewId="0">
      <selection activeCell="L10" sqref="L10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46313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'17.10'!M7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'17.10'!M8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'17.10'!M9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'17.10'!M10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'17.10'!M11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'17.10'!M12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'17.10'!M13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'17.10'!M14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'17.10'!M15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'17.10'!M16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'17.10'!M17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'17.10'!M18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'17.10'!M19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'17.10'!M20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'17.10'!M21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'17.10'!M22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'17.10'!M23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3:M25"/>
  <sheetViews>
    <sheetView workbookViewId="0">
      <selection activeCell="L24" sqref="L24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46314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'18.10'!M7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'18.10'!M8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'18.10'!M9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'18.10'!M10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'18.10'!M11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'18.10'!M12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'18.10'!M13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'18.10'!M14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'18.10'!M15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'18.10'!M16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'18.10'!M17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'18.10'!M18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'18.10'!M19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'18.10'!M20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'18.10'!M21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'18.10'!M22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'18.10'!M23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3:M25"/>
  <sheetViews>
    <sheetView workbookViewId="0">
      <selection activeCell="L24" sqref="L24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46315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'19.10'!M7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'19.10'!M8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'19.10'!M9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'19.10'!M10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'19.10'!M11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'19.10'!M12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'19.10'!M13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'19.10'!M14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'19.10'!M15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'19.10'!M16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'19.10'!M17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'19.10'!M18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'19.10'!M19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'19.10'!M20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'19.10'!M21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'19.10'!M22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'19.10'!M23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3:M25"/>
  <sheetViews>
    <sheetView workbookViewId="0">
      <selection activeCell="L24" sqref="L24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46316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'20.10'!M7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'20.10'!M8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'20.10'!M9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'20.10'!M10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'20.10'!M11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'20.10'!M12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'20.10'!M13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'20.10'!M14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'20.10'!M15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'20.10'!M16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'20.10'!M17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'20.10'!M18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'20.10'!M19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'20.10'!M20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'20.10'!M21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'20.10'!M22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'20.10'!M23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3:M25"/>
  <sheetViews>
    <sheetView workbookViewId="0">
      <selection activeCell="L24" sqref="L24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46317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'21.10'!M7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'21.10'!M8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'21.10'!M9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'21.10'!M10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'21.10'!M11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'21.10'!M12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'21.10'!M13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'21.10'!M14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'21.10'!M15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'21.10'!M16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'21.10'!M17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'21.10'!M18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'21.10'!M19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'21.10'!M20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'21.10'!M21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'21.10'!M22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'21.10'!M23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3:M25"/>
  <sheetViews>
    <sheetView workbookViewId="0">
      <selection activeCell="L24" sqref="L24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46318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'22.10'!M7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'22.10'!M8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'22.10'!M9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'22.10'!M10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'22.10'!M11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'22.10'!M12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'22.10'!M13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'22.10'!M14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'22.10'!M15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'22.10'!M16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'22.10'!M17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'22.10'!M18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'22.10'!M19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'22.10'!M20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'22.10'!M21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'22.10'!M22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'22.10'!M23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3:M25"/>
  <sheetViews>
    <sheetView workbookViewId="0">
      <selection activeCell="L24" sqref="L24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46319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'23.10'!M7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'23.10'!M8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'23.10'!M9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'23.10'!M10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'23.10'!M11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'23.10'!M12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'23.10'!M13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'23.10'!M14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'23.10'!M15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'23.10'!M16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'23.10'!M17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'23.10'!M18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'23.10'!M19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'23.10'!M20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'23.10'!M21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'23.10'!M22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'23.10'!M23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3:M25"/>
  <sheetViews>
    <sheetView workbookViewId="0">
      <selection activeCell="L23" sqref="L23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46320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'24.10'!M7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'24.10'!M8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'24.10'!M9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'24.10'!M10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'24.10'!M11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'24.10'!M12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'24.10'!M13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'24.10'!M14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'24.10'!M15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'24.10'!M16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'24.10'!M17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'24.10'!M18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'24.10'!M19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'24.10'!M20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'24.10'!M21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'24.10'!M22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'24.10'!M23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3:M25"/>
  <sheetViews>
    <sheetView workbookViewId="0">
      <selection activeCell="L24" sqref="L24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46321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'25.10'!M7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'25.10'!M8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'25.10'!M9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'25.10'!M10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'25.10'!M11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'25.10'!M12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'25.10'!M13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'25.10'!M14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'25.10'!M15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'25.10'!M16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'25.10'!M17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'25.10'!M18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'25.10'!M19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'25.10'!M20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'25.10'!M21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'25.10'!M22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'25.10'!M23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3:M25"/>
  <sheetViews>
    <sheetView workbookViewId="0">
      <selection activeCell="L24" sqref="L24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46322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'26.10'!M7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'26.10'!M8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'26.10'!M9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'26.10'!M10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'26.10'!M11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'26.10'!M12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'26.10'!M13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'26.10'!M14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'26.10'!M15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'26.10'!M16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'26.10'!M17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'26.10'!M18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'26.10'!M19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'26.10'!M20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'26.10'!M21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'26.10'!M22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'26.10'!M23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3:M25"/>
  <sheetViews>
    <sheetView workbookViewId="0">
      <selection activeCell="L24" sqref="L24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46323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'27.10'!M7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'27.10'!M8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'27.10'!M9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'27.10'!M10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'27.10'!M11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'27.10'!M12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'27.10'!M13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'27.10'!M14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'27.10'!M15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'27.10'!M16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'27.10'!M17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'27.10'!M18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'27.10'!M19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'27.10'!M20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'27.10'!M21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'27.10'!M22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'27.10'!M23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3:M25"/>
  <sheetViews>
    <sheetView workbookViewId="0">
      <selection activeCell="L24" sqref="L24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46324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'28.10'!M7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'28.10'!M8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'28.10'!M9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'28.10'!M10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'28.10'!M11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'28.10'!M12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'28.10'!M13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'28.10'!M14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'28.10'!M15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'28.10'!M16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'28.10'!M17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'28.10'!M18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'28.10'!M19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'28.10'!M20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'28.10'!M21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'28.10'!M22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'28.10'!M23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3:M25"/>
  <sheetViews>
    <sheetView workbookViewId="0">
      <selection activeCell="L24" sqref="L24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46325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'29.10'!M7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'29.10'!M8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'29.10'!M9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'29.10'!M10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'29.10'!M11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'29.10'!M12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'29.10'!M13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'29.10'!M14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'29.10'!M15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'29.10'!M16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'29.10'!M17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'29.10'!M18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'29.10'!M19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'29.10'!M20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'29.10'!M21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'29.10'!M22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'29.10'!M23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3:M25"/>
  <sheetViews>
    <sheetView workbookViewId="0">
      <selection activeCell="L7" sqref="L7"/>
    </sheetView>
  </sheetViews>
  <sheetFormatPr defaultRowHeight="15" x14ac:dyDescent="0.25"/>
  <cols>
    <col min="1" max="1" width="6" customWidth="1"/>
    <col min="2" max="2" width="12.85546875" customWidth="1"/>
    <col min="3" max="3" width="15.42578125" customWidth="1"/>
    <col min="4" max="4" width="11.5703125" customWidth="1"/>
    <col min="5" max="5" width="9.28515625" customWidth="1"/>
    <col min="6" max="6" width="12" bestFit="1" customWidth="1"/>
    <col min="7" max="7" width="11.140625" bestFit="1" customWidth="1"/>
    <col min="8" max="8" width="8.7109375" bestFit="1" customWidth="1"/>
    <col min="9" max="9" width="10.42578125" customWidth="1"/>
    <col min="10" max="10" width="13.42578125" customWidth="1"/>
    <col min="12" max="12" width="15.28515625" bestFit="1" customWidth="1"/>
    <col min="13" max="13" width="11.85546875" customWidth="1"/>
  </cols>
  <sheetData>
    <row r="3" spans="2:13" ht="15.75" thickBot="1" x14ac:dyDescent="0.3"/>
    <row r="4" spans="2:13" ht="15.75" thickBot="1" x14ac:dyDescent="0.3">
      <c r="B4" s="1" t="s">
        <v>0</v>
      </c>
      <c r="C4" s="18">
        <v>46326</v>
      </c>
    </row>
    <row r="5" spans="2:13" ht="15.75" thickBot="1" x14ac:dyDescent="0.3">
      <c r="B5" s="1"/>
      <c r="C5" s="2" t="s">
        <v>1</v>
      </c>
      <c r="D5" s="3" t="s">
        <v>2</v>
      </c>
      <c r="E5" s="3" t="s">
        <v>3</v>
      </c>
      <c r="F5" s="1" t="s">
        <v>4</v>
      </c>
      <c r="G5" s="3" t="s">
        <v>5</v>
      </c>
      <c r="H5" s="1" t="s">
        <v>6</v>
      </c>
      <c r="I5" s="4" t="s">
        <v>7</v>
      </c>
      <c r="J5" s="5"/>
      <c r="K5" s="6"/>
    </row>
    <row r="6" spans="2:13" ht="15.75" thickBot="1" x14ac:dyDescent="0.3">
      <c r="B6" s="3" t="s">
        <v>8</v>
      </c>
      <c r="C6" s="3" t="s">
        <v>9</v>
      </c>
      <c r="D6" s="3" t="s">
        <v>10</v>
      </c>
      <c r="E6" s="3" t="s">
        <v>11</v>
      </c>
      <c r="F6" s="7" t="s">
        <v>12</v>
      </c>
      <c r="G6" s="3" t="s">
        <v>13</v>
      </c>
      <c r="H6" s="7" t="s">
        <v>14</v>
      </c>
      <c r="I6" s="3" t="s">
        <v>15</v>
      </c>
      <c r="J6" s="3" t="s">
        <v>16</v>
      </c>
      <c r="K6" s="3" t="s">
        <v>17</v>
      </c>
      <c r="L6" s="3" t="s">
        <v>19</v>
      </c>
      <c r="M6" s="3" t="s">
        <v>18</v>
      </c>
    </row>
    <row r="7" spans="2:13" x14ac:dyDescent="0.25">
      <c r="B7" s="8">
        <v>101</v>
      </c>
      <c r="C7" s="8"/>
      <c r="D7" s="9"/>
      <c r="E7" s="9"/>
      <c r="F7" s="8"/>
      <c r="G7" s="10"/>
      <c r="H7" s="19">
        <f>SUM(F7*G7)</f>
        <v>0</v>
      </c>
      <c r="I7" s="10"/>
      <c r="J7" s="10"/>
      <c r="K7" s="10"/>
      <c r="L7" s="23">
        <f>'30.10'!M7</f>
        <v>0</v>
      </c>
      <c r="M7" s="23">
        <f>G7-I7-J7-K7+L7</f>
        <v>0</v>
      </c>
    </row>
    <row r="8" spans="2:13" x14ac:dyDescent="0.25">
      <c r="B8" s="11">
        <v>102</v>
      </c>
      <c r="C8" s="11"/>
      <c r="D8" s="12"/>
      <c r="E8" s="12"/>
      <c r="F8" s="11"/>
      <c r="G8" s="13"/>
      <c r="H8" s="20">
        <f>SUM(F8*G8)</f>
        <v>0</v>
      </c>
      <c r="I8" s="13"/>
      <c r="J8" s="13"/>
      <c r="K8" s="13"/>
      <c r="L8" s="24">
        <f>'30.10'!M8</f>
        <v>0</v>
      </c>
      <c r="M8" s="24">
        <f>G8-I8-J8-K8+L8</f>
        <v>0</v>
      </c>
    </row>
    <row r="9" spans="2:13" x14ac:dyDescent="0.25">
      <c r="B9" s="11">
        <v>103</v>
      </c>
      <c r="C9" s="11"/>
      <c r="D9" s="12"/>
      <c r="E9" s="12"/>
      <c r="F9" s="11"/>
      <c r="G9" s="13"/>
      <c r="H9" s="20">
        <f t="shared" ref="H9:H22" si="0">SUM(F9*G9)</f>
        <v>0</v>
      </c>
      <c r="I9" s="13"/>
      <c r="J9" s="13"/>
      <c r="K9" s="13"/>
      <c r="L9" s="24">
        <f>'30.10'!M9</f>
        <v>0</v>
      </c>
      <c r="M9" s="24">
        <f t="shared" ref="M9:M22" si="1">G9-I9-J9-K9+L9</f>
        <v>0</v>
      </c>
    </row>
    <row r="10" spans="2:13" x14ac:dyDescent="0.25">
      <c r="B10" s="11">
        <v>201</v>
      </c>
      <c r="C10" s="11"/>
      <c r="D10" s="12"/>
      <c r="E10" s="12"/>
      <c r="F10" s="11"/>
      <c r="G10" s="13"/>
      <c r="H10" s="20">
        <f t="shared" si="0"/>
        <v>0</v>
      </c>
      <c r="I10" s="13"/>
      <c r="J10" s="13"/>
      <c r="K10" s="13"/>
      <c r="L10" s="24">
        <f>'30.10'!M10</f>
        <v>0</v>
      </c>
      <c r="M10" s="24">
        <f t="shared" si="1"/>
        <v>0</v>
      </c>
    </row>
    <row r="11" spans="2:13" x14ac:dyDescent="0.25">
      <c r="B11" s="11">
        <v>202</v>
      </c>
      <c r="C11" s="11"/>
      <c r="D11" s="12"/>
      <c r="E11" s="12"/>
      <c r="F11" s="11"/>
      <c r="G11" s="13"/>
      <c r="H11" s="20">
        <f t="shared" si="0"/>
        <v>0</v>
      </c>
      <c r="I11" s="13"/>
      <c r="J11" s="13"/>
      <c r="K11" s="13"/>
      <c r="L11" s="24">
        <f>'30.10'!M11</f>
        <v>-2000</v>
      </c>
      <c r="M11" s="24">
        <f t="shared" si="1"/>
        <v>-2000</v>
      </c>
    </row>
    <row r="12" spans="2:13" x14ac:dyDescent="0.25">
      <c r="B12" s="11">
        <v>203</v>
      </c>
      <c r="C12" s="11"/>
      <c r="D12" s="12"/>
      <c r="E12" s="12"/>
      <c r="F12" s="11"/>
      <c r="G12" s="13"/>
      <c r="H12" s="20">
        <f t="shared" si="0"/>
        <v>0</v>
      </c>
      <c r="I12" s="13"/>
      <c r="J12" s="13"/>
      <c r="K12" s="13"/>
      <c r="L12" s="24">
        <f>'30.10'!M12</f>
        <v>-2000</v>
      </c>
      <c r="M12" s="24">
        <f t="shared" si="1"/>
        <v>-2000</v>
      </c>
    </row>
    <row r="13" spans="2:13" x14ac:dyDescent="0.25">
      <c r="B13" s="11">
        <v>301</v>
      </c>
      <c r="C13" s="11"/>
      <c r="D13" s="12"/>
      <c r="E13" s="12"/>
      <c r="F13" s="11"/>
      <c r="G13" s="13"/>
      <c r="H13" s="20">
        <f t="shared" si="0"/>
        <v>0</v>
      </c>
      <c r="I13" s="13"/>
      <c r="J13" s="13"/>
      <c r="K13" s="13"/>
      <c r="L13" s="24">
        <f>'30.10'!M13</f>
        <v>0</v>
      </c>
      <c r="M13" s="24">
        <f t="shared" si="1"/>
        <v>0</v>
      </c>
    </row>
    <row r="14" spans="2:13" x14ac:dyDescent="0.25">
      <c r="B14" s="11">
        <v>302</v>
      </c>
      <c r="C14" s="11"/>
      <c r="D14" s="12"/>
      <c r="E14" s="12"/>
      <c r="F14" s="11"/>
      <c r="G14" s="13"/>
      <c r="H14" s="20">
        <f t="shared" si="0"/>
        <v>0</v>
      </c>
      <c r="I14" s="13"/>
      <c r="J14" s="13"/>
      <c r="K14" s="13"/>
      <c r="L14" s="24">
        <f>'30.10'!M14</f>
        <v>0</v>
      </c>
      <c r="M14" s="24">
        <f t="shared" si="1"/>
        <v>0</v>
      </c>
    </row>
    <row r="15" spans="2:13" x14ac:dyDescent="0.25">
      <c r="B15" s="11">
        <v>303</v>
      </c>
      <c r="C15" s="11"/>
      <c r="D15" s="12"/>
      <c r="E15" s="12"/>
      <c r="F15" s="11"/>
      <c r="G15" s="13"/>
      <c r="H15" s="20">
        <f t="shared" si="0"/>
        <v>0</v>
      </c>
      <c r="I15" s="13"/>
      <c r="J15" s="13"/>
      <c r="K15" s="13"/>
      <c r="L15" s="24">
        <f>'30.10'!M15</f>
        <v>0</v>
      </c>
      <c r="M15" s="24">
        <f t="shared" si="1"/>
        <v>0</v>
      </c>
    </row>
    <row r="16" spans="2:13" x14ac:dyDescent="0.25">
      <c r="B16" s="11">
        <v>401</v>
      </c>
      <c r="C16" s="11"/>
      <c r="D16" s="12"/>
      <c r="E16" s="12"/>
      <c r="F16" s="11"/>
      <c r="G16" s="13"/>
      <c r="H16" s="20">
        <f t="shared" si="0"/>
        <v>0</v>
      </c>
      <c r="I16" s="13"/>
      <c r="J16" s="13"/>
      <c r="K16" s="13"/>
      <c r="L16" s="24">
        <f>'30.10'!M16</f>
        <v>0</v>
      </c>
      <c r="M16" s="24">
        <f t="shared" si="1"/>
        <v>0</v>
      </c>
    </row>
    <row r="17" spans="2:13" x14ac:dyDescent="0.25">
      <c r="B17" s="11">
        <v>402</v>
      </c>
      <c r="C17" s="11"/>
      <c r="D17" s="12"/>
      <c r="E17" s="12"/>
      <c r="F17" s="11"/>
      <c r="G17" s="13"/>
      <c r="H17" s="20">
        <f t="shared" si="0"/>
        <v>0</v>
      </c>
      <c r="I17" s="13"/>
      <c r="J17" s="13"/>
      <c r="K17" s="13"/>
      <c r="L17" s="24">
        <f>'30.10'!M17</f>
        <v>0</v>
      </c>
      <c r="M17" s="24">
        <f t="shared" si="1"/>
        <v>0</v>
      </c>
    </row>
    <row r="18" spans="2:13" x14ac:dyDescent="0.25">
      <c r="B18" s="11">
        <v>403</v>
      </c>
      <c r="C18" s="11"/>
      <c r="D18" s="12"/>
      <c r="E18" s="12"/>
      <c r="F18" s="11"/>
      <c r="G18" s="13"/>
      <c r="H18" s="20">
        <f t="shared" si="0"/>
        <v>0</v>
      </c>
      <c r="I18" s="13"/>
      <c r="J18" s="13"/>
      <c r="K18" s="13"/>
      <c r="L18" s="24">
        <f>'30.10'!M18</f>
        <v>0</v>
      </c>
      <c r="M18" s="24">
        <f t="shared" si="1"/>
        <v>0</v>
      </c>
    </row>
    <row r="19" spans="2:13" x14ac:dyDescent="0.25">
      <c r="B19" s="11">
        <v>501</v>
      </c>
      <c r="C19" s="11"/>
      <c r="D19" s="12"/>
      <c r="E19" s="12"/>
      <c r="F19" s="11"/>
      <c r="G19" s="13"/>
      <c r="H19" s="20">
        <f t="shared" si="0"/>
        <v>0</v>
      </c>
      <c r="I19" s="13"/>
      <c r="J19" s="13"/>
      <c r="K19" s="13"/>
      <c r="L19" s="24">
        <f>'30.10'!M19</f>
        <v>0</v>
      </c>
      <c r="M19" s="24">
        <f t="shared" si="1"/>
        <v>0</v>
      </c>
    </row>
    <row r="20" spans="2:13" x14ac:dyDescent="0.25">
      <c r="B20" s="11">
        <v>502</v>
      </c>
      <c r="C20" s="11"/>
      <c r="D20" s="12"/>
      <c r="E20" s="12"/>
      <c r="F20" s="11"/>
      <c r="G20" s="13"/>
      <c r="H20" s="20">
        <f t="shared" si="0"/>
        <v>0</v>
      </c>
      <c r="I20" s="13"/>
      <c r="J20" s="13"/>
      <c r="K20" s="13"/>
      <c r="L20" s="24">
        <f>'30.10'!M20</f>
        <v>0</v>
      </c>
      <c r="M20" s="24">
        <f t="shared" si="1"/>
        <v>0</v>
      </c>
    </row>
    <row r="21" spans="2:13" x14ac:dyDescent="0.25">
      <c r="B21" s="11">
        <v>503</v>
      </c>
      <c r="C21" s="11"/>
      <c r="D21" s="12"/>
      <c r="E21" s="12"/>
      <c r="F21" s="11"/>
      <c r="G21" s="13"/>
      <c r="H21" s="20">
        <f t="shared" si="0"/>
        <v>0</v>
      </c>
      <c r="I21" s="13"/>
      <c r="J21" s="13"/>
      <c r="K21" s="13"/>
      <c r="L21" s="24">
        <f>'30.10'!M21</f>
        <v>0</v>
      </c>
      <c r="M21" s="24">
        <f t="shared" si="1"/>
        <v>0</v>
      </c>
    </row>
    <row r="22" spans="2:13" x14ac:dyDescent="0.25">
      <c r="B22" s="11">
        <v>601</v>
      </c>
      <c r="C22" s="11"/>
      <c r="D22" s="12"/>
      <c r="E22" s="12"/>
      <c r="F22" s="11"/>
      <c r="G22" s="13"/>
      <c r="H22" s="20">
        <f t="shared" si="0"/>
        <v>0</v>
      </c>
      <c r="I22" s="13"/>
      <c r="J22" s="13"/>
      <c r="K22" s="13"/>
      <c r="L22" s="24">
        <f>'30.10'!M22</f>
        <v>0</v>
      </c>
      <c r="M22" s="24">
        <f t="shared" si="1"/>
        <v>0</v>
      </c>
    </row>
    <row r="23" spans="2:13" ht="15.75" thickBot="1" x14ac:dyDescent="0.3">
      <c r="B23" s="14">
        <v>602</v>
      </c>
      <c r="C23" s="14"/>
      <c r="D23" s="15"/>
      <c r="E23" s="15"/>
      <c r="F23" s="14"/>
      <c r="G23" s="16"/>
      <c r="H23" s="21">
        <f>SUM(F23*G23)</f>
        <v>0</v>
      </c>
      <c r="I23" s="16"/>
      <c r="J23" s="16"/>
      <c r="K23" s="16"/>
      <c r="L23" s="25">
        <f>'30.10'!M23</f>
        <v>0</v>
      </c>
      <c r="M23" s="25">
        <f>G23-I23-J23-K23+L23</f>
        <v>0</v>
      </c>
    </row>
    <row r="24" spans="2:13" ht="15.75" thickBot="1" x14ac:dyDescent="0.3"/>
    <row r="25" spans="2:13" ht="15.75" thickBot="1" x14ac:dyDescent="0.3">
      <c r="H25" s="17" t="s">
        <v>6</v>
      </c>
      <c r="I25" s="22">
        <f>SUM(I7:I23)</f>
        <v>0</v>
      </c>
      <c r="J25" s="22">
        <f t="shared" ref="J25:K25" si="2">SUM(J7:J23)</f>
        <v>0</v>
      </c>
      <c r="K25" s="2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01.10</vt:lpstr>
      <vt:lpstr>02.10</vt:lpstr>
      <vt:lpstr>03.10</vt:lpstr>
      <vt:lpstr>04.10</vt:lpstr>
      <vt:lpstr>05.10</vt:lpstr>
      <vt:lpstr>06.10</vt:lpstr>
      <vt:lpstr>07.10</vt:lpstr>
      <vt:lpstr>08.10</vt:lpstr>
      <vt:lpstr>09.10</vt:lpstr>
      <vt:lpstr>10.10</vt:lpstr>
      <vt:lpstr>11.10</vt:lpstr>
      <vt:lpstr>12.10</vt:lpstr>
      <vt:lpstr>13.10</vt:lpstr>
      <vt:lpstr>14.10</vt:lpstr>
      <vt:lpstr>15.10</vt:lpstr>
      <vt:lpstr>16.10</vt:lpstr>
      <vt:lpstr>17.10</vt:lpstr>
      <vt:lpstr>18.10</vt:lpstr>
      <vt:lpstr>19.10</vt:lpstr>
      <vt:lpstr>20.10</vt:lpstr>
      <vt:lpstr>21.10</vt:lpstr>
      <vt:lpstr>22.10</vt:lpstr>
      <vt:lpstr>23.10</vt:lpstr>
      <vt:lpstr>24.10</vt:lpstr>
      <vt:lpstr>25.10</vt:lpstr>
      <vt:lpstr>26.10</vt:lpstr>
      <vt:lpstr>27.10</vt:lpstr>
      <vt:lpstr>28.10</vt:lpstr>
      <vt:lpstr>29.10</vt:lpstr>
      <vt:lpstr>30.10</vt:lpstr>
      <vt:lpstr>31.10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</dc:creator>
  <cp:lastModifiedBy>le potre de taksim</cp:lastModifiedBy>
  <dcterms:created xsi:type="dcterms:W3CDTF">2026-09-26T06:49:55Z</dcterms:created>
  <dcterms:modified xsi:type="dcterms:W3CDTF">2026-09-30T17:47:28Z</dcterms:modified>
</cp:coreProperties>
</file>